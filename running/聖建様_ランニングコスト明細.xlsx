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1_月額サマリー" sheetId="1" state="visible" r:id="rId3"/>
    <sheet name="02_単価と前提" sheetId="2" state="visible" r:id="rId4"/>
    <sheet name="03_サーバー構成の比較" sheetId="3" state="visible" r:id="rId5"/>
    <sheet name="04_法令改正監視サービス" sheetId="4" state="visible" r:id="rId6"/>
    <sheet name="05_契約の分け方" sheetId="5" state="visible" r:id="rId7"/>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33" authorId="0">
      <text>
        <r>
          <rPr>
            <sz val="10"/>
            <rFont val="WenQuanYi Zen Hei"/>
            <family val="2"/>
          </rPr>
          <t xml:space="preserve">既定は構成</t>
        </r>
        <r>
          <rPr>
            <sz val="10"/>
            <rFont val="Arial"/>
            <family val="2"/>
          </rPr>
          <t xml:space="preserve">B</t>
        </r>
        <r>
          <rPr>
            <sz val="10"/>
            <rFont val="WenQuanYi Zen Hei"/>
            <family val="2"/>
          </rPr>
          <t xml:space="preserve">（推奨）。構成</t>
        </r>
        <r>
          <rPr>
            <sz val="10"/>
            <rFont val="Arial"/>
            <family val="2"/>
          </rPr>
          <t xml:space="preserve">A</t>
        </r>
        <r>
          <rPr>
            <sz val="10"/>
            <rFont val="WenQuanYi Zen Hei"/>
            <family val="2"/>
          </rPr>
          <t xml:space="preserve">にするなら </t>
        </r>
        <r>
          <rPr>
            <sz val="10"/>
            <rFont val="Arial"/>
            <family val="2"/>
          </rPr>
          <t xml:space="preserve">=B29</t>
        </r>
        <r>
          <rPr>
            <sz val="10"/>
            <rFont val="WenQuanYi Zen Hei"/>
            <family val="2"/>
          </rPr>
          <t xml:space="preserve">、構成</t>
        </r>
        <r>
          <rPr>
            <sz val="10"/>
            <rFont val="Arial"/>
            <family val="2"/>
          </rPr>
          <t xml:space="preserve">C</t>
        </r>
        <r>
          <rPr>
            <sz val="10"/>
            <rFont val="WenQuanYi Zen Hei"/>
            <family val="2"/>
          </rPr>
          <t xml:space="preserve">にするなら </t>
        </r>
        <r>
          <rPr>
            <sz val="10"/>
            <rFont val="Arial"/>
            <family val="2"/>
          </rPr>
          <t xml:space="preserve">=D29 </t>
        </r>
        <r>
          <rPr>
            <sz val="10"/>
            <rFont val="WenQuanYi Zen Hei"/>
            <family val="2"/>
          </rPr>
          <t xml:space="preserve">に書き換えてください。任意の金額を直接入力しても構いません。</t>
        </r>
      </text>
    </comment>
  </commentList>
</comments>
</file>

<file path=xl/sharedStrings.xml><?xml version="1.0" encoding="utf-8"?>
<sst xmlns="http://schemas.openxmlformats.org/spreadsheetml/2006/main" count="297" uniqueCount="271">
  <si>
    <t xml:space="preserve">月額ランニングコスト（受講者数別）</t>
  </si>
  <si>
    <t xml:space="preserve">受講者数（黄色セル）を変えると全体が再計算されます。金額はすべて税抜です。</t>
  </si>
  <si>
    <t xml:space="preserve">項目</t>
  </si>
  <si>
    <r>
      <rPr>
        <b val="true"/>
        <sz val="9.5"/>
        <color rgb="FFFFFFFF"/>
        <rFont val="WenQuanYi Zen Hei"/>
        <family val="2"/>
      </rPr>
      <t xml:space="preserve">ケース</t>
    </r>
    <r>
      <rPr>
        <b val="true"/>
        <sz val="9.5"/>
        <color rgb="FFFFFFFF"/>
        <rFont val="Meiryo"/>
        <family val="0"/>
        <charset val="1"/>
      </rPr>
      <t xml:space="preserve">1</t>
    </r>
  </si>
  <si>
    <r>
      <rPr>
        <b val="true"/>
        <sz val="9.5"/>
        <color rgb="FFFFFFFF"/>
        <rFont val="WenQuanYi Zen Hei"/>
        <family val="2"/>
      </rPr>
      <t xml:space="preserve">ケース</t>
    </r>
    <r>
      <rPr>
        <b val="true"/>
        <sz val="9.5"/>
        <color rgb="FFFFFFFF"/>
        <rFont val="Meiryo"/>
        <family val="0"/>
        <charset val="1"/>
      </rPr>
      <t xml:space="preserve">2</t>
    </r>
  </si>
  <si>
    <r>
      <rPr>
        <b val="true"/>
        <sz val="9.5"/>
        <color rgb="FFFFFFFF"/>
        <rFont val="WenQuanYi Zen Hei"/>
        <family val="2"/>
      </rPr>
      <t xml:space="preserve">ケース</t>
    </r>
    <r>
      <rPr>
        <b val="true"/>
        <sz val="9.5"/>
        <color rgb="FFFFFFFF"/>
        <rFont val="Meiryo"/>
        <family val="0"/>
        <charset val="1"/>
      </rPr>
      <t xml:space="preserve">3</t>
    </r>
  </si>
  <si>
    <t xml:space="preserve">内容・算出方法</t>
  </si>
  <si>
    <t xml:space="preserve">月間の受講者数</t>
  </si>
  <si>
    <r>
      <rPr>
        <sz val="9"/>
        <color rgb="FF6C7A87"/>
        <rFont val="WenQuanYi Zen Hei"/>
        <family val="2"/>
      </rPr>
      <t xml:space="preserve">年間では</t>
    </r>
    <r>
      <rPr>
        <sz val="9"/>
        <color rgb="FF6C7A87"/>
        <rFont val="Meiryo"/>
        <family val="0"/>
        <charset val="1"/>
      </rPr>
      <t xml:space="preserve">600</t>
    </r>
    <r>
      <rPr>
        <sz val="9"/>
        <color rgb="FF6C7A87"/>
        <rFont val="WenQuanYi Zen Hei"/>
        <family val="2"/>
      </rPr>
      <t xml:space="preserve">名／</t>
    </r>
    <r>
      <rPr>
        <sz val="9"/>
        <color rgb="FF6C7A87"/>
        <rFont val="Meiryo"/>
        <family val="0"/>
        <charset val="1"/>
      </rPr>
      <t xml:space="preserve">1,200</t>
    </r>
    <r>
      <rPr>
        <sz val="9"/>
        <color rgb="FF6C7A87"/>
        <rFont val="WenQuanYi Zen Hei"/>
        <family val="2"/>
      </rPr>
      <t xml:space="preserve">名／</t>
    </r>
    <r>
      <rPr>
        <sz val="9"/>
        <color rgb="FF6C7A87"/>
        <rFont val="Meiryo"/>
        <family val="0"/>
        <charset val="1"/>
      </rPr>
      <t xml:space="preserve">3,600</t>
    </r>
    <r>
      <rPr>
        <sz val="9"/>
        <color rgb="FF6C7A87"/>
        <rFont val="WenQuanYi Zen Hei"/>
        <family val="2"/>
      </rPr>
      <t xml:space="preserve">名</t>
    </r>
  </si>
  <si>
    <r>
      <rPr>
        <b val="true"/>
        <sz val="10"/>
        <color rgb="FF1B3A57"/>
        <rFont val="Meiryo"/>
        <family val="0"/>
        <charset val="1"/>
      </rPr>
      <t xml:space="preserve">A. </t>
    </r>
    <r>
      <rPr>
        <b val="true"/>
        <sz val="10"/>
        <color rgb="FF1B3A57"/>
        <rFont val="WenQuanYi Zen Hei"/>
        <family val="2"/>
      </rPr>
      <t xml:space="preserve">弊社へお支払い（定額）</t>
    </r>
  </si>
  <si>
    <t xml:space="preserve">保守・運用サービス</t>
  </si>
  <si>
    <t xml:space="preserve">死活監視・エラー監視、障害対応、軽微改修、問い合わせ一次対応</t>
  </si>
  <si>
    <t xml:space="preserve">法令改正監視・通知サービス</t>
  </si>
  <si>
    <r>
      <rPr>
        <sz val="9"/>
        <color rgb="FF6C7A87"/>
        <rFont val="WenQuanYi Zen Hei"/>
        <family val="2"/>
      </rPr>
      <t xml:space="preserve">月</t>
    </r>
    <r>
      <rPr>
        <sz val="9"/>
        <color rgb="FF6C7A87"/>
        <rFont val="Meiryo"/>
        <family val="0"/>
        <charset val="1"/>
      </rPr>
      <t xml:space="preserve">2</t>
    </r>
    <r>
      <rPr>
        <sz val="9"/>
        <color rgb="FF6C7A87"/>
        <rFont val="WenQuanYi Zen Hei"/>
        <family val="2"/>
      </rPr>
      <t xml:space="preserve">回の確認。検知したら聖建様と弊社の双方へ自動メール通知</t>
    </r>
  </si>
  <si>
    <t xml:space="preserve">弊社サービス 小計</t>
  </si>
  <si>
    <r>
      <rPr>
        <b val="true"/>
        <sz val="10"/>
        <color rgb="FFB05A1E"/>
        <rFont val="Meiryo"/>
        <family val="0"/>
        <charset val="1"/>
      </rPr>
      <t xml:space="preserve">B. AWS </t>
    </r>
    <r>
      <rPr>
        <b val="true"/>
        <sz val="10"/>
        <color rgb="FFB05A1E"/>
        <rFont val="WenQuanYi Zen Hei"/>
        <family val="2"/>
      </rPr>
      <t xml:space="preserve">利用料（お客様ご負担・構成</t>
    </r>
    <r>
      <rPr>
        <b val="true"/>
        <sz val="10"/>
        <color rgb="FFB05A1E"/>
        <rFont val="Meiryo"/>
        <family val="0"/>
        <charset val="1"/>
      </rPr>
      <t xml:space="preserve">B</t>
    </r>
    <r>
      <rPr>
        <b val="true"/>
        <sz val="10"/>
        <color rgb="FFB05A1E"/>
        <rFont val="WenQuanYi Zen Hei"/>
        <family val="2"/>
      </rPr>
      <t xml:space="preserve">）</t>
    </r>
  </si>
  <si>
    <r>
      <rPr>
        <b val="true"/>
        <sz val="10"/>
        <color rgb="FF1A2430"/>
        <rFont val="Meiryo"/>
        <family val="0"/>
        <charset val="1"/>
      </rPr>
      <t xml:space="preserve">AWS </t>
    </r>
    <r>
      <rPr>
        <b val="true"/>
        <sz val="10"/>
        <color rgb="FF1A2430"/>
        <rFont val="WenQuanYi Zen Hei"/>
        <family val="2"/>
      </rPr>
      <t xml:space="preserve">固定費（構成</t>
    </r>
    <r>
      <rPr>
        <b val="true"/>
        <sz val="10"/>
        <color rgb="FF1A2430"/>
        <rFont val="Meiryo"/>
        <family val="0"/>
        <charset val="1"/>
      </rPr>
      <t xml:space="preserve">B</t>
    </r>
    <r>
      <rPr>
        <b val="true"/>
        <sz val="10"/>
        <color rgb="FF1A2430"/>
        <rFont val="WenQuanYi Zen Hei"/>
        <family val="2"/>
      </rPr>
      <t xml:space="preserve">・推奨）</t>
    </r>
  </si>
  <si>
    <r>
      <rPr>
        <sz val="9"/>
        <color rgb="FF6C7A87"/>
        <rFont val="WenQuanYi Zen Hei"/>
        <family val="2"/>
      </rPr>
      <t xml:space="preserve">既定は構成</t>
    </r>
    <r>
      <rPr>
        <sz val="9"/>
        <color rgb="FF6C7A87"/>
        <rFont val="Meiryo"/>
        <family val="0"/>
        <charset val="1"/>
      </rPr>
      <t xml:space="preserve">B</t>
    </r>
    <r>
      <rPr>
        <sz val="9"/>
        <color rgb="FF6C7A87"/>
        <rFont val="WenQuanYi Zen Hei"/>
        <family val="2"/>
      </rPr>
      <t xml:space="preserve">（推奨）。</t>
    </r>
    <r>
      <rPr>
        <sz val="9"/>
        <color rgb="FF6C7A87"/>
        <rFont val="Meiryo"/>
        <family val="0"/>
        <charset val="1"/>
      </rPr>
      <t xml:space="preserve">EC2 1</t>
    </r>
    <r>
      <rPr>
        <sz val="9"/>
        <color rgb="FF6C7A87"/>
        <rFont val="WenQuanYi Zen Hei"/>
        <family val="2"/>
      </rPr>
      <t xml:space="preserve">台・</t>
    </r>
    <r>
      <rPr>
        <sz val="9"/>
        <color rgb="FF6C7A87"/>
        <rFont val="Meiryo"/>
        <family val="0"/>
        <charset val="1"/>
      </rPr>
      <t xml:space="preserve">RDS Multi-AZ</t>
    </r>
    <r>
      <rPr>
        <sz val="9"/>
        <color rgb="FF6C7A87"/>
        <rFont val="WenQuanYi Zen Hei"/>
        <family val="2"/>
      </rPr>
      <t xml:space="preserve">・</t>
    </r>
    <r>
      <rPr>
        <sz val="9"/>
        <color rgb="FF6C7A87"/>
        <rFont val="Meiryo"/>
        <family val="0"/>
        <charset val="1"/>
      </rPr>
      <t xml:space="preserve">ElastiCache</t>
    </r>
    <r>
      <rPr>
        <sz val="9"/>
        <color rgb="FF6C7A87"/>
        <rFont val="WenQuanYi Zen Hei"/>
        <family val="2"/>
      </rPr>
      <t xml:space="preserve">・</t>
    </r>
    <r>
      <rPr>
        <sz val="9"/>
        <color rgb="FF6C7A87"/>
        <rFont val="Meiryo"/>
        <family val="0"/>
        <charset val="1"/>
      </rPr>
      <t xml:space="preserve">ALB</t>
    </r>
    <r>
      <rPr>
        <sz val="9"/>
        <color rgb="FF6C7A87"/>
        <rFont val="WenQuanYi Zen Hei"/>
        <family val="2"/>
      </rPr>
      <t xml:space="preserve">・</t>
    </r>
    <r>
      <rPr>
        <sz val="9"/>
        <color rgb="FF6C7A87"/>
        <rFont val="Meiryo"/>
        <family val="0"/>
        <charset val="1"/>
      </rPr>
      <t xml:space="preserve">S3</t>
    </r>
    <r>
      <rPr>
        <sz val="9"/>
        <color rgb="FF6C7A87"/>
        <rFont val="WenQuanYi Zen Hei"/>
        <family val="2"/>
      </rPr>
      <t xml:space="preserve">・</t>
    </r>
    <r>
      <rPr>
        <sz val="9"/>
        <color rgb="FF6C7A87"/>
        <rFont val="Meiryo"/>
        <family val="0"/>
        <charset val="1"/>
      </rPr>
      <t xml:space="preserve">Route53</t>
    </r>
    <r>
      <rPr>
        <sz val="9"/>
        <color rgb="FF6C7A87"/>
        <rFont val="WenQuanYi Zen Hei"/>
        <family val="2"/>
      </rPr>
      <t xml:space="preserve">・</t>
    </r>
    <r>
      <rPr>
        <sz val="9"/>
        <color rgb="FF6C7A87"/>
        <rFont val="Meiryo"/>
        <family val="0"/>
        <charset val="1"/>
      </rPr>
      <t xml:space="preserve">CloudWatch</t>
    </r>
  </si>
  <si>
    <r>
      <rPr>
        <sz val="10"/>
        <color rgb="FF1A2430"/>
        <rFont val="WenQuanYi Zen Hei"/>
        <family val="2"/>
      </rPr>
      <t xml:space="preserve">動画配信（</t>
    </r>
    <r>
      <rPr>
        <sz val="10"/>
        <color rgb="FF1A2430"/>
        <rFont val="Meiryo"/>
        <family val="0"/>
        <charset val="1"/>
      </rPr>
      <t xml:space="preserve">CDN</t>
    </r>
    <r>
      <rPr>
        <sz val="10"/>
        <color rgb="FF1A2430"/>
        <rFont val="WenQuanYi Zen Hei"/>
        <family val="2"/>
      </rPr>
      <t xml:space="preserve">転送）</t>
    </r>
  </si>
  <si>
    <r>
      <rPr>
        <sz val="9"/>
        <color rgb="FF6C7A87"/>
        <rFont val="WenQuanYi Zen Hei"/>
        <family val="2"/>
      </rPr>
      <t xml:space="preserve">受講者数</t>
    </r>
    <r>
      <rPr>
        <sz val="9"/>
        <color rgb="FF6C7A87"/>
        <rFont val="Meiryo"/>
        <family val="0"/>
        <charset val="1"/>
      </rPr>
      <t xml:space="preserve">×3.5GB</t>
    </r>
    <r>
      <rPr>
        <sz val="9"/>
        <color rgb="FF6C7A87"/>
        <rFont val="WenQuanYi Zen Hei"/>
        <family val="2"/>
      </rPr>
      <t xml:space="preserve">。月</t>
    </r>
    <r>
      <rPr>
        <sz val="9"/>
        <color rgb="FF6C7A87"/>
        <rFont val="Meiryo"/>
        <family val="0"/>
        <charset val="1"/>
      </rPr>
      <t xml:space="preserve">1TB</t>
    </r>
    <r>
      <rPr>
        <sz val="9"/>
        <color rgb="FF6C7A87"/>
        <rFont val="WenQuanYi Zen Hei"/>
        <family val="2"/>
      </rPr>
      <t xml:space="preserve">の無料枠を控除</t>
    </r>
  </si>
  <si>
    <t xml:space="preserve">追加ストレージ</t>
  </si>
  <si>
    <r>
      <rPr>
        <sz val="9"/>
        <color rgb="FF6C7A87"/>
        <rFont val="WenQuanYi Zen Hei"/>
        <family val="2"/>
      </rPr>
      <t xml:space="preserve">本人確認画像 </t>
    </r>
    <r>
      <rPr>
        <sz val="9"/>
        <color rgb="FF6C7A87"/>
        <rFont val="Meiryo"/>
        <family val="0"/>
        <charset val="1"/>
      </rPr>
      <t xml:space="preserve">1</t>
    </r>
    <r>
      <rPr>
        <sz val="9"/>
        <color rgb="FF6C7A87"/>
        <rFont val="WenQuanYi Zen Hei"/>
        <family val="2"/>
      </rPr>
      <t xml:space="preserve">人あたり約</t>
    </r>
    <r>
      <rPr>
        <sz val="9"/>
        <color rgb="FF6C7A87"/>
        <rFont val="Meiryo"/>
        <family val="0"/>
        <charset val="1"/>
      </rPr>
      <t xml:space="preserve">20MB</t>
    </r>
  </si>
  <si>
    <r>
      <rPr>
        <sz val="10"/>
        <color rgb="FF1A2430"/>
        <rFont val="WenQuanYi Zen Hei"/>
        <family val="2"/>
      </rPr>
      <t xml:space="preserve">顔照合</t>
    </r>
    <r>
      <rPr>
        <sz val="10"/>
        <color rgb="FF1A2430"/>
        <rFont val="Meiryo"/>
        <family val="0"/>
        <charset val="1"/>
      </rPr>
      <t xml:space="preserve">API</t>
    </r>
  </si>
  <si>
    <r>
      <rPr>
        <sz val="9"/>
        <color rgb="FF6C7A87"/>
        <rFont val="WenQuanYi Zen Hei"/>
        <family val="2"/>
      </rPr>
      <t xml:space="preserve">受講者数</t>
    </r>
    <r>
      <rPr>
        <sz val="9"/>
        <color rgb="FF6C7A87"/>
        <rFont val="Meiryo"/>
        <family val="0"/>
        <charset val="1"/>
      </rPr>
      <t xml:space="preserve">×22</t>
    </r>
    <r>
      <rPr>
        <sz val="9"/>
        <color rgb="FF6C7A87"/>
        <rFont val="WenQuanYi Zen Hei"/>
        <family val="2"/>
      </rPr>
      <t xml:space="preserve">回</t>
    </r>
    <r>
      <rPr>
        <sz val="9"/>
        <color rgb="FF6C7A87"/>
        <rFont val="Meiryo"/>
        <family val="0"/>
        <charset val="1"/>
      </rPr>
      <t xml:space="preserve">×</t>
    </r>
    <r>
      <rPr>
        <sz val="9"/>
        <color rgb="FF6C7A87"/>
        <rFont val="WenQuanYi Zen Hei"/>
        <family val="2"/>
      </rPr>
      <t xml:space="preserve">単価</t>
    </r>
  </si>
  <si>
    <t xml:space="preserve">ライブネス判定</t>
  </si>
  <si>
    <r>
      <rPr>
        <sz val="9"/>
        <color rgb="FF6C7A87"/>
        <rFont val="WenQuanYi Zen Hei"/>
        <family val="2"/>
      </rPr>
      <t xml:space="preserve">受講者数</t>
    </r>
    <r>
      <rPr>
        <sz val="9"/>
        <color rgb="FF6C7A87"/>
        <rFont val="Meiryo"/>
        <family val="0"/>
        <charset val="1"/>
      </rPr>
      <t xml:space="preserve">×1</t>
    </r>
    <r>
      <rPr>
        <sz val="9"/>
        <color rgb="FF6C7A87"/>
        <rFont val="WenQuanYi Zen Hei"/>
        <family val="2"/>
      </rPr>
      <t xml:space="preserve">回</t>
    </r>
    <r>
      <rPr>
        <sz val="9"/>
        <color rgb="FF6C7A87"/>
        <rFont val="Meiryo"/>
        <family val="0"/>
        <charset val="1"/>
      </rPr>
      <t xml:space="preserve">×</t>
    </r>
    <r>
      <rPr>
        <sz val="9"/>
        <color rgb="FF6C7A87"/>
        <rFont val="WenQuanYi Zen Hei"/>
        <family val="2"/>
      </rPr>
      <t xml:space="preserve">単価</t>
    </r>
  </si>
  <si>
    <t xml:space="preserve">メール送信</t>
  </si>
  <si>
    <r>
      <rPr>
        <sz val="9"/>
        <color rgb="FF6C7A87"/>
        <rFont val="WenQuanYi Zen Hei"/>
        <family val="2"/>
      </rPr>
      <t xml:space="preserve">受講者数</t>
    </r>
    <r>
      <rPr>
        <sz val="9"/>
        <color rgb="FF6C7A87"/>
        <rFont val="Meiryo"/>
        <family val="0"/>
        <charset val="1"/>
      </rPr>
      <t xml:space="preserve">×5</t>
    </r>
    <r>
      <rPr>
        <sz val="9"/>
        <color rgb="FF6C7A87"/>
        <rFont val="WenQuanYi Zen Hei"/>
        <family val="2"/>
      </rPr>
      <t xml:space="preserve">通</t>
    </r>
    <r>
      <rPr>
        <sz val="9"/>
        <color rgb="FF6C7A87"/>
        <rFont val="Meiryo"/>
        <family val="0"/>
        <charset val="1"/>
      </rPr>
      <t xml:space="preserve">×</t>
    </r>
    <r>
      <rPr>
        <sz val="9"/>
        <color rgb="FF6C7A87"/>
        <rFont val="WenQuanYi Zen Hei"/>
        <family val="2"/>
      </rPr>
      <t xml:space="preserve">単価</t>
    </r>
  </si>
  <si>
    <r>
      <rPr>
        <b val="true"/>
        <sz val="10"/>
        <color rgb="FFB05A1E"/>
        <rFont val="Meiryo"/>
        <family val="0"/>
        <charset val="1"/>
      </rPr>
      <t xml:space="preserve">AWS </t>
    </r>
    <r>
      <rPr>
        <b val="true"/>
        <sz val="10"/>
        <color rgb="FFB05A1E"/>
        <rFont val="WenQuanYi Zen Hei"/>
        <family val="2"/>
      </rPr>
      <t xml:space="preserve">小計（固定＋従量）</t>
    </r>
  </si>
  <si>
    <r>
      <rPr>
        <b val="true"/>
        <sz val="10"/>
        <color rgb="FF1B3A57"/>
        <rFont val="Meiryo"/>
        <family val="0"/>
        <charset val="1"/>
      </rPr>
      <t xml:space="preserve">C. </t>
    </r>
    <r>
      <rPr>
        <b val="true"/>
        <sz val="10"/>
        <color rgb="FF1B3A57"/>
        <rFont val="WenQuanYi Zen Hei"/>
        <family val="2"/>
      </rPr>
      <t xml:space="preserve">制作期間中のみ</t>
    </r>
  </si>
  <si>
    <t xml:space="preserve">アバター・音声合成サービス</t>
  </si>
  <si>
    <r>
      <rPr>
        <sz val="9"/>
        <color rgb="FF6C7A87"/>
        <rFont val="Meiryo"/>
        <family val="0"/>
        <charset val="1"/>
      </rPr>
      <t xml:space="preserve">10</t>
    </r>
    <r>
      <rPr>
        <sz val="9"/>
        <color rgb="FF6C7A87"/>
        <rFont val="WenQuanYi Zen Hei"/>
        <family val="2"/>
      </rPr>
      <t xml:space="preserve">科目の制作完了後は解約できます（約</t>
    </r>
    <r>
      <rPr>
        <sz val="9"/>
        <color rgb="FF6C7A87"/>
        <rFont val="Meiryo"/>
        <family val="0"/>
        <charset val="1"/>
      </rPr>
      <t xml:space="preserve">10</t>
    </r>
    <r>
      <rPr>
        <sz val="9"/>
        <color rgb="FF6C7A87"/>
        <rFont val="WenQuanYi Zen Hei"/>
        <family val="2"/>
      </rPr>
      <t xml:space="preserve">か月間）</t>
    </r>
  </si>
  <si>
    <t xml:space="preserve">月額 合計（制作期間中）</t>
  </si>
  <si>
    <r>
      <rPr>
        <sz val="9"/>
        <color rgb="FF6C7A87"/>
        <rFont val="WenQuanYi Zen Hei"/>
        <family val="2"/>
      </rPr>
      <t xml:space="preserve">最初の約</t>
    </r>
    <r>
      <rPr>
        <sz val="9"/>
        <color rgb="FF6C7A87"/>
        <rFont val="Meiryo"/>
        <family val="0"/>
        <charset val="1"/>
      </rPr>
      <t xml:space="preserve">10</t>
    </r>
    <r>
      <rPr>
        <sz val="9"/>
        <color rgb="FF6C7A87"/>
        <rFont val="WenQuanYi Zen Hei"/>
        <family val="2"/>
      </rPr>
      <t xml:space="preserve">か月</t>
    </r>
  </si>
  <si>
    <t xml:space="preserve">月額 合計（制作完了後）</t>
  </si>
  <si>
    <r>
      <rPr>
        <sz val="9"/>
        <color rgb="FF6C7A87"/>
        <rFont val="Meiryo"/>
        <family val="0"/>
        <charset val="1"/>
      </rPr>
      <t xml:space="preserve">11</t>
    </r>
    <r>
      <rPr>
        <sz val="9"/>
        <color rgb="FF6C7A87"/>
        <rFont val="WenQuanYi Zen Hei"/>
        <family val="2"/>
      </rPr>
      <t xml:space="preserve">か月目以降の定常状態</t>
    </r>
  </si>
  <si>
    <r>
      <rPr>
        <b val="true"/>
        <sz val="10"/>
        <color rgb="FF1A2430"/>
        <rFont val="WenQuanYi Zen Hei"/>
        <family val="2"/>
      </rPr>
      <t xml:space="preserve">うち 受講者</t>
    </r>
    <r>
      <rPr>
        <b val="true"/>
        <sz val="10"/>
        <color rgb="FF1A2430"/>
        <rFont val="Meiryo"/>
        <family val="0"/>
        <charset val="1"/>
      </rPr>
      <t xml:space="preserve">1</t>
    </r>
    <r>
      <rPr>
        <b val="true"/>
        <sz val="10"/>
        <color rgb="FF1A2430"/>
        <rFont val="WenQuanYi Zen Hei"/>
        <family val="2"/>
      </rPr>
      <t xml:space="preserve">名あたり</t>
    </r>
  </si>
  <si>
    <r>
      <rPr>
        <sz val="9"/>
        <color rgb="FF6C7A87"/>
        <rFont val="WenQuanYi Zen Hei"/>
        <family val="2"/>
      </rPr>
      <t xml:space="preserve">受講者が増えるほど</t>
    </r>
    <r>
      <rPr>
        <sz val="9"/>
        <color rgb="FF6C7A87"/>
        <rFont val="Meiryo"/>
        <family val="0"/>
        <charset val="1"/>
      </rPr>
      <t xml:space="preserve">1</t>
    </r>
    <r>
      <rPr>
        <sz val="9"/>
        <color rgb="FF6C7A87"/>
        <rFont val="WenQuanYi Zen Hei"/>
        <family val="2"/>
      </rPr>
      <t xml:space="preserve">名あたりの負担は下がります</t>
    </r>
  </si>
  <si>
    <t xml:space="preserve">参考：売上との比較</t>
  </si>
  <si>
    <t xml:space="preserve">月間の想定売上</t>
  </si>
  <si>
    <r>
      <rPr>
        <sz val="9"/>
        <color rgb="FF6C7A87"/>
        <rFont val="WenQuanYi Zen Hei"/>
        <family val="2"/>
      </rPr>
      <t xml:space="preserve">受講料</t>
    </r>
    <r>
      <rPr>
        <sz val="9"/>
        <color rgb="FF6C7A87"/>
        <rFont val="Meiryo"/>
        <family val="0"/>
        <charset val="1"/>
      </rPr>
      <t xml:space="preserve">10,000</t>
    </r>
    <r>
      <rPr>
        <sz val="9"/>
        <color rgb="FF6C7A87"/>
        <rFont val="WenQuanYi Zen Hei"/>
        <family val="2"/>
      </rPr>
      <t xml:space="preserve">円で試算</t>
    </r>
  </si>
  <si>
    <t xml:space="preserve">決済手数料（導入された場合）</t>
  </si>
  <si>
    <r>
      <rPr>
        <sz val="9"/>
        <color rgb="FF6C7A87"/>
        <rFont val="WenQuanYi Zen Hei"/>
        <family val="2"/>
      </rPr>
      <t xml:space="preserve">第</t>
    </r>
    <r>
      <rPr>
        <sz val="9"/>
        <color rgb="FF6C7A87"/>
        <rFont val="Meiryo"/>
        <family val="0"/>
        <charset val="1"/>
      </rPr>
      <t xml:space="preserve">2</t>
    </r>
    <r>
      <rPr>
        <sz val="9"/>
        <color rgb="FF6C7A87"/>
        <rFont val="WenQuanYi Zen Hei"/>
        <family val="2"/>
      </rPr>
      <t xml:space="preserve">次発注でオンライン決済を導入された場合</t>
    </r>
  </si>
  <si>
    <t xml:space="preserve">差引（教材の償却前）</t>
  </si>
  <si>
    <t xml:space="preserve">ここが黒字になる受講者数が損益分岐です</t>
  </si>
  <si>
    <t xml:space="preserve">■ 読み方</t>
  </si>
  <si>
    <r>
      <rPr>
        <sz val="9.5"/>
        <color rgb="FF6C7A87"/>
        <rFont val="WenQuanYi Zen Hei"/>
        <family val="2"/>
      </rPr>
      <t xml:space="preserve">・弊社サービス</t>
    </r>
    <r>
      <rPr>
        <sz val="9.5"/>
        <color rgb="FF6C7A87"/>
        <rFont val="Meiryo"/>
        <family val="0"/>
        <charset val="1"/>
      </rPr>
      <t xml:space="preserve">100,000</t>
    </r>
    <r>
      <rPr>
        <sz val="9.5"/>
        <color rgb="FF6C7A87"/>
        <rFont val="WenQuanYi Zen Hei"/>
        <family val="2"/>
      </rPr>
      <t xml:space="preserve">円と</t>
    </r>
    <r>
      <rPr>
        <sz val="9.5"/>
        <color rgb="FF6C7A87"/>
        <rFont val="Meiryo"/>
        <family val="0"/>
        <charset val="1"/>
      </rPr>
      <t xml:space="preserve">AWS36,000</t>
    </r>
    <r>
      <rPr>
        <sz val="9.5"/>
        <color rgb="FF6C7A87"/>
        <rFont val="WenQuanYi Zen Hei"/>
        <family val="2"/>
      </rPr>
      <t xml:space="preserve">円で、月</t>
    </r>
    <r>
      <rPr>
        <sz val="9.5"/>
        <color rgb="FF6C7A87"/>
        <rFont val="Meiryo"/>
        <family val="0"/>
        <charset val="1"/>
      </rPr>
      <t xml:space="preserve">136,000</t>
    </r>
    <r>
      <rPr>
        <sz val="9.5"/>
        <color rgb="FF6C7A87"/>
        <rFont val="WenQuanYi Zen Hei"/>
        <family val="2"/>
      </rPr>
      <t xml:space="preserve">円が定常のランニングコストです。</t>
    </r>
  </si>
  <si>
    <r>
      <rPr>
        <sz val="9.5"/>
        <color rgb="FF6C7A87"/>
        <rFont val="WenQuanYi Zen Hei"/>
        <family val="2"/>
      </rPr>
      <t xml:space="preserve">・受講者が</t>
    </r>
    <r>
      <rPr>
        <sz val="9.5"/>
        <color rgb="FF6C7A87"/>
        <rFont val="Meiryo"/>
        <family val="0"/>
        <charset val="1"/>
      </rPr>
      <t xml:space="preserve">6</t>
    </r>
    <r>
      <rPr>
        <sz val="9.5"/>
        <color rgb="FF6C7A87"/>
        <rFont val="WenQuanYi Zen Hei"/>
        <family val="2"/>
      </rPr>
      <t xml:space="preserve">倍（</t>
    </r>
    <r>
      <rPr>
        <sz val="9.5"/>
        <color rgb="FF6C7A87"/>
        <rFont val="Meiryo"/>
        <family val="0"/>
        <charset val="1"/>
      </rPr>
      <t xml:space="preserve">50</t>
    </r>
    <r>
      <rPr>
        <sz val="9.5"/>
        <color rgb="FF6C7A87"/>
        <rFont val="WenQuanYi Zen Hei"/>
        <family val="2"/>
      </rPr>
      <t xml:space="preserve">名→</t>
    </r>
    <r>
      <rPr>
        <sz val="9.5"/>
        <color rgb="FF6C7A87"/>
        <rFont val="Meiryo"/>
        <family val="0"/>
        <charset val="1"/>
      </rPr>
      <t xml:space="preserve">300</t>
    </r>
    <r>
      <rPr>
        <sz val="9.5"/>
        <color rgb="FF6C7A87"/>
        <rFont val="WenQuanYi Zen Hei"/>
        <family val="2"/>
      </rPr>
      <t xml:space="preserve">名）になっても、増えるのは</t>
    </r>
    <r>
      <rPr>
        <sz val="9.5"/>
        <color rgb="FF6C7A87"/>
        <rFont val="Meiryo"/>
        <family val="0"/>
        <charset val="1"/>
      </rPr>
      <t xml:space="preserve">2,500</t>
    </r>
    <r>
      <rPr>
        <sz val="9.5"/>
        <color rgb="FF6C7A87"/>
        <rFont val="WenQuanYi Zen Hei"/>
        <family val="2"/>
      </rPr>
      <t xml:space="preserve">円程度です。</t>
    </r>
    <r>
      <rPr>
        <sz val="9.5"/>
        <color rgb="FF6C7A87"/>
        <rFont val="Meiryo"/>
        <family val="0"/>
        <charset val="1"/>
      </rPr>
      <t xml:space="preserve">CDN</t>
    </r>
    <r>
      <rPr>
        <sz val="9.5"/>
        <color rgb="FF6C7A87"/>
        <rFont val="WenQuanYi Zen Hei"/>
        <family val="2"/>
      </rPr>
      <t xml:space="preserve">の無料枠が効いています。</t>
    </r>
  </si>
  <si>
    <t xml:space="preserve">・したがってこの事業の損益は「固定費を何名で割るか」でほぼ決まります。</t>
  </si>
  <si>
    <r>
      <rPr>
        <sz val="9.5"/>
        <color rgb="FF6C7A87"/>
        <rFont val="WenQuanYi Zen Hei"/>
        <family val="2"/>
      </rPr>
      <t xml:space="preserve">・受講料</t>
    </r>
    <r>
      <rPr>
        <sz val="9.5"/>
        <color rgb="FF6C7A87"/>
        <rFont val="Meiryo"/>
        <family val="0"/>
        <charset val="1"/>
      </rPr>
      <t xml:space="preserve">10,000</t>
    </r>
    <r>
      <rPr>
        <sz val="9.5"/>
        <color rgb="FF6C7A87"/>
        <rFont val="WenQuanYi Zen Hei"/>
        <family val="2"/>
      </rPr>
      <t xml:space="preserve">円なら、月</t>
    </r>
    <r>
      <rPr>
        <sz val="9.5"/>
        <color rgb="FF6C7A87"/>
        <rFont val="Meiryo"/>
        <family val="0"/>
        <charset val="1"/>
      </rPr>
      <t xml:space="preserve">15</t>
    </r>
    <r>
      <rPr>
        <sz val="9.5"/>
        <color rgb="FF6C7A87"/>
        <rFont val="WenQuanYi Zen Hei"/>
        <family val="2"/>
      </rPr>
      <t xml:space="preserve">名前後で固定費を回収できる計算になります。</t>
    </r>
  </si>
  <si>
    <t xml:space="preserve">ランニングコストの単価と前提</t>
  </si>
  <si>
    <r>
      <rPr>
        <sz val="9"/>
        <color rgb="FF6C7A87"/>
        <rFont val="WenQuanYi Zen Hei"/>
        <family val="2"/>
      </rPr>
      <t xml:space="preserve">黄色のセルが入力欄です。金額は</t>
    </r>
    <r>
      <rPr>
        <sz val="9"/>
        <color rgb="FF6C7A87"/>
        <rFont val="Meiryo"/>
        <family val="0"/>
        <charset val="1"/>
      </rPr>
      <t xml:space="preserve">2026</t>
    </r>
    <r>
      <rPr>
        <sz val="9"/>
        <color rgb="FF6C7A87"/>
        <rFont val="WenQuanYi Zen Hei"/>
        <family val="2"/>
      </rPr>
      <t xml:space="preserve">年</t>
    </r>
    <r>
      <rPr>
        <sz val="9"/>
        <color rgb="FF6C7A87"/>
        <rFont val="Meiryo"/>
        <family val="0"/>
        <charset val="1"/>
      </rPr>
      <t xml:space="preserve">9</t>
    </r>
    <r>
      <rPr>
        <sz val="9"/>
        <color rgb="FF6C7A87"/>
        <rFont val="WenQuanYi Zen Hei"/>
        <family val="2"/>
      </rPr>
      <t xml:space="preserve">月時点の公開情報に基づく想定値であり、確定値ではありません。</t>
    </r>
  </si>
  <si>
    <t xml:space="preserve">共通の前提</t>
  </si>
  <si>
    <t xml:space="preserve">為替レート</t>
  </si>
  <si>
    <r>
      <rPr>
        <sz val="9"/>
        <color rgb="FF6C7A87"/>
        <rFont val="Meiryo"/>
        <family val="0"/>
        <charset val="1"/>
      </rPr>
      <t xml:space="preserve">AWS</t>
    </r>
    <r>
      <rPr>
        <sz val="9"/>
        <color rgb="FF6C7A87"/>
        <rFont val="WenQuanYi Zen Hei"/>
        <family val="2"/>
      </rPr>
      <t xml:space="preserve">等のドル建て費用の換算に使用します</t>
    </r>
  </si>
  <si>
    <r>
      <rPr>
        <b val="true"/>
        <sz val="10"/>
        <color rgb="FF1A2430"/>
        <rFont val="Meiryo"/>
        <family val="0"/>
        <charset val="1"/>
      </rPr>
      <t xml:space="preserve">1</t>
    </r>
    <r>
      <rPr>
        <b val="true"/>
        <sz val="10"/>
        <color rgb="FF1A2430"/>
        <rFont val="WenQuanYi Zen Hei"/>
        <family val="2"/>
      </rPr>
      <t xml:space="preserve">受講あたりの動画転送量</t>
    </r>
  </si>
  <si>
    <r>
      <rPr>
        <sz val="9"/>
        <color rgb="FF6C7A87"/>
        <rFont val="WenQuanYi Zen Hei"/>
        <family val="2"/>
      </rPr>
      <t xml:space="preserve">学科</t>
    </r>
    <r>
      <rPr>
        <sz val="9"/>
        <color rgb="FF6C7A87"/>
        <rFont val="Meiryo"/>
        <family val="0"/>
        <charset val="1"/>
      </rPr>
      <t xml:space="preserve">4.5</t>
    </r>
    <r>
      <rPr>
        <sz val="9"/>
        <color rgb="FF6C7A87"/>
        <rFont val="WenQuanYi Zen Hei"/>
        <family val="2"/>
      </rPr>
      <t xml:space="preserve">時間・</t>
    </r>
    <r>
      <rPr>
        <sz val="9"/>
        <color rgb="FF6C7A87"/>
        <rFont val="Meiryo"/>
        <family val="0"/>
        <charset val="1"/>
      </rPr>
      <t xml:space="preserve">720p</t>
    </r>
    <r>
      <rPr>
        <sz val="9"/>
        <color rgb="FF6C7A87"/>
        <rFont val="WenQuanYi Zen Hei"/>
        <family val="2"/>
      </rPr>
      <t xml:space="preserve">（約</t>
    </r>
    <r>
      <rPr>
        <sz val="9"/>
        <color rgb="FF6C7A87"/>
        <rFont val="Meiryo"/>
        <family val="0"/>
        <charset val="1"/>
      </rPr>
      <t xml:space="preserve">1.5Mbps</t>
    </r>
    <r>
      <rPr>
        <sz val="9"/>
        <color rgb="FF6C7A87"/>
        <rFont val="WenQuanYi Zen Hei"/>
        <family val="2"/>
      </rPr>
      <t xml:space="preserve">）＋再視聴分</t>
    </r>
  </si>
  <si>
    <r>
      <rPr>
        <b val="true"/>
        <sz val="10"/>
        <color rgb="FF1A2430"/>
        <rFont val="Meiryo"/>
        <family val="0"/>
        <charset val="1"/>
      </rPr>
      <t xml:space="preserve">1</t>
    </r>
    <r>
      <rPr>
        <b val="true"/>
        <sz val="10"/>
        <color rgb="FF1A2430"/>
        <rFont val="WenQuanYi Zen Hei"/>
        <family val="2"/>
      </rPr>
      <t xml:space="preserve">受講あたりの顔照合回数</t>
    </r>
  </si>
  <si>
    <t xml:space="preserve">受講開始時＋受講中のランダム照合</t>
  </si>
  <si>
    <r>
      <rPr>
        <b val="true"/>
        <sz val="10"/>
        <color rgb="FF1A2430"/>
        <rFont val="Meiryo"/>
        <family val="0"/>
        <charset val="1"/>
      </rPr>
      <t xml:space="preserve">1</t>
    </r>
    <r>
      <rPr>
        <b val="true"/>
        <sz val="10"/>
        <color rgb="FF1A2430"/>
        <rFont val="WenQuanYi Zen Hei"/>
        <family val="2"/>
      </rPr>
      <t xml:space="preserve">受講あたりのライブネス判定</t>
    </r>
  </si>
  <si>
    <r>
      <rPr>
        <sz val="9"/>
        <color rgb="FF6C7A87"/>
        <rFont val="WenQuanYi Zen Hei"/>
        <family val="2"/>
      </rPr>
      <t xml:space="preserve">アカウント登録時の</t>
    </r>
    <r>
      <rPr>
        <sz val="9"/>
        <color rgb="FF6C7A87"/>
        <rFont val="Meiryo"/>
        <family val="0"/>
        <charset val="1"/>
      </rPr>
      <t xml:space="preserve">1</t>
    </r>
    <r>
      <rPr>
        <sz val="9"/>
        <color rgb="FF6C7A87"/>
        <rFont val="WenQuanYi Zen Hei"/>
        <family val="2"/>
      </rPr>
      <t xml:space="preserve">回のみ</t>
    </r>
  </si>
  <si>
    <t xml:space="preserve">受講料（参考）</t>
  </si>
  <si>
    <t xml:space="preserve">売上と決済手数料の試算に使用</t>
  </si>
  <si>
    <t xml:space="preserve">決済手数料率</t>
  </si>
  <si>
    <t xml:space="preserve">オンライン決済を導入された場合</t>
  </si>
  <si>
    <r>
      <rPr>
        <b val="true"/>
        <sz val="10"/>
        <color rgb="FF1A2430"/>
        <rFont val="Meiryo"/>
        <family val="0"/>
        <charset val="1"/>
      </rPr>
      <t xml:space="preserve">CDN</t>
    </r>
    <r>
      <rPr>
        <b val="true"/>
        <sz val="10"/>
        <color rgb="FF1A2430"/>
        <rFont val="WenQuanYi Zen Hei"/>
        <family val="2"/>
      </rPr>
      <t xml:space="preserve">無料枠</t>
    </r>
  </si>
  <si>
    <r>
      <rPr>
        <sz val="9"/>
        <color rgb="FF6C7A87"/>
        <rFont val="Meiryo"/>
        <family val="0"/>
        <charset val="1"/>
      </rPr>
      <t xml:space="preserve">CloudFront</t>
    </r>
    <r>
      <rPr>
        <sz val="9"/>
        <color rgb="FF6C7A87"/>
        <rFont val="WenQuanYi Zen Hei"/>
        <family val="2"/>
      </rPr>
      <t xml:space="preserve">の永年無料枠（月</t>
    </r>
    <r>
      <rPr>
        <sz val="9"/>
        <color rgb="FF6C7A87"/>
        <rFont val="Meiryo"/>
        <family val="0"/>
        <charset val="1"/>
      </rPr>
      <t xml:space="preserve">1TB</t>
    </r>
    <r>
      <rPr>
        <sz val="9"/>
        <color rgb="FF6C7A87"/>
        <rFont val="WenQuanYi Zen Hei"/>
        <family val="2"/>
      </rPr>
      <t xml:space="preserve">）</t>
    </r>
  </si>
  <si>
    <r>
      <rPr>
        <b val="true"/>
        <sz val="10"/>
        <color rgb="FF1B3A57"/>
        <rFont val="Meiryo"/>
        <family val="0"/>
        <charset val="1"/>
      </rPr>
      <t xml:space="preserve">A. </t>
    </r>
    <r>
      <rPr>
        <b val="true"/>
        <sz val="10"/>
        <color rgb="FF1B3A57"/>
        <rFont val="WenQuanYi Zen Hei"/>
        <family val="2"/>
      </rPr>
      <t xml:space="preserve">弊社へお支払いいただく月額（定額）</t>
    </r>
  </si>
  <si>
    <t xml:space="preserve">月額</t>
  </si>
  <si>
    <t xml:space="preserve">内容</t>
  </si>
  <si>
    <t xml:space="preserve">備考</t>
  </si>
  <si>
    <t xml:space="preserve">システムの死活監視とエラー監視、障害対応、軽微な改修、受講者からの問い合わせ一次対応、月次レポート</t>
  </si>
  <si>
    <t xml:space="preserve">受講者数によらず定額</t>
  </si>
  <si>
    <r>
      <rPr>
        <sz val="9"/>
        <color rgb="FF6C7A87"/>
        <rFont val="WenQuanYi Zen Hei"/>
        <family val="2"/>
      </rPr>
      <t xml:space="preserve">月</t>
    </r>
    <r>
      <rPr>
        <sz val="9"/>
        <color rgb="FF6C7A87"/>
        <rFont val="Meiryo"/>
        <family val="0"/>
        <charset val="1"/>
      </rPr>
      <t xml:space="preserve">2</t>
    </r>
    <r>
      <rPr>
        <sz val="9"/>
        <color rgb="FF6C7A87"/>
        <rFont val="WenQuanYi Zen Hei"/>
        <family val="2"/>
      </rPr>
      <t xml:space="preserve">回（月初・月中）、官報・厚生労働省の通達・パブリックコメントを確認。対象</t>
    </r>
    <r>
      <rPr>
        <sz val="9"/>
        <color rgb="FF6C7A87"/>
        <rFont val="Meiryo"/>
        <family val="0"/>
        <charset val="1"/>
      </rPr>
      <t xml:space="preserve">10</t>
    </r>
    <r>
      <rPr>
        <sz val="9"/>
        <color rgb="FF6C7A87"/>
        <rFont val="WenQuanYi Zen Hei"/>
        <family val="2"/>
      </rPr>
      <t xml:space="preserve">科目に影響しうる改正を検知したら、聖建様と弊社の双方へ自動でメール通知</t>
    </r>
  </si>
  <si>
    <t xml:space="preserve">監視の仕組みは弊社の共通基盤。初期開発費は不要</t>
  </si>
  <si>
    <r>
      <rPr>
        <b val="true"/>
        <sz val="10"/>
        <color rgb="FFB05A1E"/>
        <rFont val="Meiryo"/>
        <family val="0"/>
        <charset val="1"/>
      </rPr>
      <t xml:space="preserve">B. AWS </t>
    </r>
    <r>
      <rPr>
        <b val="true"/>
        <sz val="10"/>
        <color rgb="FFB05A1E"/>
        <rFont val="WenQuanYi Zen Hei"/>
        <family val="2"/>
      </rPr>
      <t xml:space="preserve">固定費（お客様ご負担）── </t>
    </r>
    <r>
      <rPr>
        <b val="true"/>
        <sz val="10"/>
        <color rgb="FFB05A1E"/>
        <rFont val="Meiryo"/>
        <family val="0"/>
        <charset val="1"/>
      </rPr>
      <t xml:space="preserve">3</t>
    </r>
    <r>
      <rPr>
        <b val="true"/>
        <sz val="10"/>
        <color rgb="FFB05A1E"/>
        <rFont val="WenQuanYi Zen Hei"/>
        <family val="2"/>
      </rPr>
      <t xml:space="preserve">構成の比較</t>
    </r>
  </si>
  <si>
    <t xml:space="preserve">サービス</t>
  </si>
  <si>
    <r>
      <rPr>
        <b val="true"/>
        <sz val="9.5"/>
        <color rgb="FFFFFFFF"/>
        <rFont val="Meiryo"/>
        <family val="0"/>
        <charset val="1"/>
      </rPr>
      <t xml:space="preserve">A. </t>
    </r>
    <r>
      <rPr>
        <b val="true"/>
        <sz val="9.5"/>
        <color rgb="FFFFFFFF"/>
        <rFont val="WenQuanYi Zen Hei"/>
        <family val="2"/>
      </rPr>
      <t xml:space="preserve">最小</t>
    </r>
  </si>
  <si>
    <r>
      <rPr>
        <b val="true"/>
        <sz val="9.5"/>
        <color rgb="FFFFFFFF"/>
        <rFont val="Meiryo"/>
        <family val="0"/>
        <charset val="1"/>
      </rPr>
      <t xml:space="preserve">B. </t>
    </r>
    <r>
      <rPr>
        <b val="true"/>
        <sz val="9.5"/>
        <color rgb="FFFFFFFF"/>
        <rFont val="WenQuanYi Zen Hei"/>
        <family val="2"/>
      </rPr>
      <t xml:space="preserve">推奨</t>
    </r>
  </si>
  <si>
    <r>
      <rPr>
        <b val="true"/>
        <sz val="9.5"/>
        <color rgb="FFFFFFFF"/>
        <rFont val="Meiryo"/>
        <family val="0"/>
        <charset val="1"/>
      </rPr>
      <t xml:space="preserve">C. </t>
    </r>
    <r>
      <rPr>
        <b val="true"/>
        <sz val="9.5"/>
        <color rgb="FFFFFFFF"/>
        <rFont val="WenQuanYi Zen Hei"/>
        <family val="2"/>
      </rPr>
      <t xml:space="preserve">フル冗長</t>
    </r>
  </si>
  <si>
    <t xml:space="preserve">用途・備考</t>
  </si>
  <si>
    <r>
      <rPr>
        <sz val="10"/>
        <color rgb="FF1A2430"/>
        <rFont val="Meiryo"/>
        <family val="0"/>
        <charset val="1"/>
      </rPr>
      <t xml:space="preserve">EC2</t>
    </r>
    <r>
      <rPr>
        <sz val="10"/>
        <color rgb="FF1A2430"/>
        <rFont val="WenQuanYi Zen Hei"/>
        <family val="2"/>
      </rPr>
      <t xml:space="preserve">（アプリケーション）</t>
    </r>
  </si>
  <si>
    <r>
      <rPr>
        <sz val="9"/>
        <color rgb="FF6C7A87"/>
        <rFont val="Meiryo"/>
        <family val="0"/>
        <charset val="1"/>
      </rPr>
      <t xml:space="preserve">t3.medium</t>
    </r>
    <r>
      <rPr>
        <sz val="9"/>
        <color rgb="FF6C7A87"/>
        <rFont val="WenQuanYi Zen Hei"/>
        <family val="2"/>
      </rPr>
      <t xml:space="preserve">。</t>
    </r>
    <r>
      <rPr>
        <sz val="9"/>
        <color rgb="FF6C7A87"/>
        <rFont val="Meiryo"/>
        <family val="0"/>
        <charset val="1"/>
      </rPr>
      <t xml:space="preserve">C</t>
    </r>
    <r>
      <rPr>
        <sz val="9"/>
        <color rgb="FF6C7A87"/>
        <rFont val="WenQuanYi Zen Hei"/>
        <family val="2"/>
      </rPr>
      <t xml:space="preserve">は</t>
    </r>
    <r>
      <rPr>
        <sz val="9"/>
        <color rgb="FF6C7A87"/>
        <rFont val="Meiryo"/>
        <family val="0"/>
        <charset val="1"/>
      </rPr>
      <t xml:space="preserve">2</t>
    </r>
    <r>
      <rPr>
        <sz val="9"/>
        <color rgb="FF6C7A87"/>
        <rFont val="WenQuanYi Zen Hei"/>
        <family val="2"/>
      </rPr>
      <t xml:space="preserve">台構成で冗長化</t>
    </r>
  </si>
  <si>
    <t xml:space="preserve">RDS PostgreSQL</t>
  </si>
  <si>
    <r>
      <rPr>
        <sz val="9"/>
        <color rgb="FF6C7A87"/>
        <rFont val="Meiryo"/>
        <family val="0"/>
        <charset val="1"/>
      </rPr>
      <t xml:space="preserve">B</t>
    </r>
    <r>
      <rPr>
        <sz val="9"/>
        <color rgb="FF6C7A87"/>
        <rFont val="WenQuanYi Zen Hei"/>
        <family val="2"/>
      </rPr>
      <t xml:space="preserve">・</t>
    </r>
    <r>
      <rPr>
        <sz val="9"/>
        <color rgb="FF6C7A87"/>
        <rFont val="Meiryo"/>
        <family val="0"/>
        <charset val="1"/>
      </rPr>
      <t xml:space="preserve">C</t>
    </r>
    <r>
      <rPr>
        <sz val="9"/>
        <color rgb="FF6C7A87"/>
        <rFont val="WenQuanYi Zen Hei"/>
        <family val="2"/>
      </rPr>
      <t xml:space="preserve">は</t>
    </r>
    <r>
      <rPr>
        <sz val="9"/>
        <color rgb="FF6C7A87"/>
        <rFont val="Meiryo"/>
        <family val="0"/>
        <charset val="1"/>
      </rPr>
      <t xml:space="preserve">Multi-AZ</t>
    </r>
    <r>
      <rPr>
        <sz val="9"/>
        <color rgb="FF6C7A87"/>
        <rFont val="WenQuanYi Zen Hei"/>
        <family val="2"/>
      </rPr>
      <t xml:space="preserve">。自動バックアップと</t>
    </r>
    <r>
      <rPr>
        <sz val="9"/>
        <color rgb="FF6C7A87"/>
        <rFont val="Meiryo"/>
        <family val="0"/>
        <charset val="1"/>
      </rPr>
      <t xml:space="preserve">PITR</t>
    </r>
    <r>
      <rPr>
        <sz val="9"/>
        <color rgb="FF6C7A87"/>
        <rFont val="WenQuanYi Zen Hei"/>
        <family val="2"/>
      </rPr>
      <t xml:space="preserve">を有効化</t>
    </r>
  </si>
  <si>
    <t xml:space="preserve">ElastiCache Redis</t>
  </si>
  <si>
    <r>
      <rPr>
        <sz val="9"/>
        <color rgb="FF6C7A87"/>
        <rFont val="Meiryo"/>
        <family val="0"/>
        <charset val="1"/>
      </rPr>
      <t xml:space="preserve">C</t>
    </r>
    <r>
      <rPr>
        <sz val="9"/>
        <color rgb="FF6C7A87"/>
        <rFont val="WenQuanYi Zen Hei"/>
        <family val="2"/>
      </rPr>
      <t xml:space="preserve">はレプリカ付き</t>
    </r>
  </si>
  <si>
    <t xml:space="preserve">Application Load Balancer</t>
  </si>
  <si>
    <r>
      <rPr>
        <sz val="9"/>
        <color rgb="FF6C7A87"/>
        <rFont val="Meiryo"/>
        <family val="0"/>
        <charset val="1"/>
      </rPr>
      <t xml:space="preserve">HTTPS</t>
    </r>
    <r>
      <rPr>
        <sz val="9"/>
        <color rgb="FF6C7A87"/>
        <rFont val="WenQuanYi Zen Hei"/>
        <family val="2"/>
      </rPr>
      <t xml:space="preserve">の終端と負荷分散</t>
    </r>
  </si>
  <si>
    <t xml:space="preserve">NAT Gateway</t>
  </si>
  <si>
    <r>
      <rPr>
        <sz val="9"/>
        <color rgb="FF6C7A87"/>
        <rFont val="Meiryo"/>
        <family val="0"/>
        <charset val="1"/>
      </rPr>
      <t xml:space="preserve">A</t>
    </r>
    <r>
      <rPr>
        <sz val="9"/>
        <color rgb="FF6C7A87"/>
        <rFont val="WenQuanYi Zen Hei"/>
        <family val="2"/>
      </rPr>
      <t xml:space="preserve">・</t>
    </r>
    <r>
      <rPr>
        <sz val="9"/>
        <color rgb="FF6C7A87"/>
        <rFont val="Meiryo"/>
        <family val="0"/>
        <charset val="1"/>
      </rPr>
      <t xml:space="preserve">B</t>
    </r>
    <r>
      <rPr>
        <sz val="9"/>
        <color rgb="FF6C7A87"/>
        <rFont val="WenQuanYi Zen Hei"/>
        <family val="2"/>
      </rPr>
      <t xml:space="preserve">は</t>
    </r>
    <r>
      <rPr>
        <sz val="9"/>
        <color rgb="FF6C7A87"/>
        <rFont val="Meiryo"/>
        <family val="0"/>
        <charset val="1"/>
      </rPr>
      <t xml:space="preserve">VPC</t>
    </r>
    <r>
      <rPr>
        <sz val="9"/>
        <color rgb="FF6C7A87"/>
        <rFont val="WenQuanYi Zen Hei"/>
        <family val="2"/>
      </rPr>
      <t xml:space="preserve">エンドポイントを使い不要とする</t>
    </r>
  </si>
  <si>
    <r>
      <rPr>
        <sz val="10"/>
        <color rgb="FF1A2430"/>
        <rFont val="Meiryo"/>
        <family val="0"/>
        <charset val="1"/>
      </rPr>
      <t xml:space="preserve">S3</t>
    </r>
    <r>
      <rPr>
        <sz val="10"/>
        <color rgb="FF1A2430"/>
        <rFont val="WenQuanYi Zen Hei"/>
        <family val="2"/>
      </rPr>
      <t xml:space="preserve">（オブジェクトストレージ）</t>
    </r>
  </si>
  <si>
    <t xml:space="preserve">教材動画、本人確認画像、バックアップ</t>
  </si>
  <si>
    <t xml:space="preserve">Route 53 / ACM</t>
  </si>
  <si>
    <r>
      <rPr>
        <sz val="9"/>
        <color rgb="FF6C7A87"/>
        <rFont val="WenQuanYi Zen Hei"/>
        <family val="2"/>
      </rPr>
      <t xml:space="preserve">ドメインと</t>
    </r>
    <r>
      <rPr>
        <sz val="9"/>
        <color rgb="FF6C7A87"/>
        <rFont val="Meiryo"/>
        <family val="0"/>
        <charset val="1"/>
      </rPr>
      <t xml:space="preserve">SSL</t>
    </r>
    <r>
      <rPr>
        <sz val="9"/>
        <color rgb="FF6C7A87"/>
        <rFont val="WenQuanYi Zen Hei"/>
        <family val="2"/>
      </rPr>
      <t xml:space="preserve">証明書</t>
    </r>
  </si>
  <si>
    <t xml:space="preserve">CloudWatch</t>
  </si>
  <si>
    <t xml:space="preserve">メトリクス監視、ログ保管、アラート</t>
  </si>
  <si>
    <t xml:space="preserve">合計</t>
  </si>
  <si>
    <t xml:space="preserve">障害時の挙動</t>
  </si>
  <si>
    <r>
      <rPr>
        <sz val="8.5"/>
        <color rgb="FF9E2F27"/>
        <rFont val="WenQuanYi Zen Hei"/>
        <family val="2"/>
      </rPr>
      <t xml:space="preserve">アプリも</t>
    </r>
    <r>
      <rPr>
        <sz val="8.5"/>
        <color rgb="FF9E2F27"/>
        <rFont val="Meiryo"/>
        <family val="0"/>
        <charset val="1"/>
      </rPr>
      <t xml:space="preserve">DB</t>
    </r>
    <r>
      <rPr>
        <sz val="8.5"/>
        <color rgb="FF9E2F27"/>
        <rFont val="WenQuanYi Zen Hei"/>
        <family val="2"/>
      </rPr>
      <t xml:space="preserve">も停止。復旧は手作業</t>
    </r>
  </si>
  <si>
    <r>
      <rPr>
        <sz val="8.5"/>
        <color rgb="FF1E6B4A"/>
        <rFont val="Meiryo"/>
        <family val="0"/>
        <charset val="1"/>
      </rPr>
      <t xml:space="preserve">DB</t>
    </r>
    <r>
      <rPr>
        <sz val="8.5"/>
        <color rgb="FF1E6B4A"/>
        <rFont val="WenQuanYi Zen Hei"/>
        <family val="2"/>
      </rPr>
      <t xml:space="preserve">は自動切替。アプリは再作成</t>
    </r>
    <r>
      <rPr>
        <sz val="8.5"/>
        <color rgb="FF1E6B4A"/>
        <rFont val="Meiryo"/>
        <family val="0"/>
        <charset val="1"/>
      </rPr>
      <t xml:space="preserve">15</t>
    </r>
    <r>
      <rPr>
        <sz val="8.5"/>
        <color rgb="FF1E6B4A"/>
        <rFont val="WenQuanYi Zen Hei"/>
        <family val="2"/>
      </rPr>
      <t xml:space="preserve">〜</t>
    </r>
    <r>
      <rPr>
        <sz val="8.5"/>
        <color rgb="FF1E6B4A"/>
        <rFont val="Meiryo"/>
        <family val="0"/>
        <charset val="1"/>
      </rPr>
      <t xml:space="preserve">30</t>
    </r>
    <r>
      <rPr>
        <sz val="8.5"/>
        <color rgb="FF1E6B4A"/>
        <rFont val="WenQuanYi Zen Hei"/>
        <family val="2"/>
      </rPr>
      <t xml:space="preserve">分</t>
    </r>
  </si>
  <si>
    <r>
      <rPr>
        <sz val="8.5"/>
        <color rgb="FF1E6B4A"/>
        <rFont val="WenQuanYi Zen Hei"/>
        <family val="2"/>
      </rPr>
      <t xml:space="preserve">アプリも</t>
    </r>
    <r>
      <rPr>
        <sz val="8.5"/>
        <color rgb="FF1E6B4A"/>
        <rFont val="Meiryo"/>
        <family val="0"/>
        <charset val="1"/>
      </rPr>
      <t xml:space="preserve">DB</t>
    </r>
    <r>
      <rPr>
        <sz val="8.5"/>
        <color rgb="FF1E6B4A"/>
        <rFont val="WenQuanYi Zen Hei"/>
        <family val="2"/>
      </rPr>
      <t xml:space="preserve">も自動で切替</t>
    </r>
  </si>
  <si>
    <t xml:space="preserve">採用する構成の月額（この値がサマリーに反映されます）</t>
  </si>
  <si>
    <r>
      <rPr>
        <b val="true"/>
        <sz val="10"/>
        <color rgb="FF1A2430"/>
        <rFont val="Meiryo"/>
        <family val="0"/>
        <charset val="1"/>
      </rPr>
      <t xml:space="preserve">AWS </t>
    </r>
    <r>
      <rPr>
        <b val="true"/>
        <sz val="10"/>
        <color rgb="FF1A2430"/>
        <rFont val="WenQuanYi Zen Hei"/>
        <family val="2"/>
      </rPr>
      <t xml:space="preserve">固定費（採用値）</t>
    </r>
  </si>
  <si>
    <r>
      <rPr>
        <sz val="9"/>
        <color rgb="FF6C7A87"/>
        <rFont val="WenQuanYi Zen Hei"/>
        <family val="2"/>
      </rPr>
      <t xml:space="preserve">既定は構成</t>
    </r>
    <r>
      <rPr>
        <sz val="9"/>
        <color rgb="FF6C7A87"/>
        <rFont val="Meiryo"/>
        <family val="0"/>
        <charset val="1"/>
      </rPr>
      <t xml:space="preserve">B</t>
    </r>
    <r>
      <rPr>
        <sz val="9"/>
        <color rgb="FF6C7A87"/>
        <rFont val="WenQuanYi Zen Hei"/>
        <family val="2"/>
      </rPr>
      <t xml:space="preserve">。変更する場合はこのセルを書き換えてください</t>
    </r>
  </si>
  <si>
    <r>
      <rPr>
        <b val="true"/>
        <sz val="10"/>
        <color rgb="FFB05A1E"/>
        <rFont val="Meiryo"/>
        <family val="0"/>
        <charset val="1"/>
      </rPr>
      <t xml:space="preserve">C. AWS </t>
    </r>
    <r>
      <rPr>
        <b val="true"/>
        <sz val="10"/>
        <color rgb="FFB05A1E"/>
        <rFont val="WenQuanYi Zen Hei"/>
        <family val="2"/>
      </rPr>
      <t xml:space="preserve">従量課金の単価（お客様ご負担）</t>
    </r>
  </si>
  <si>
    <t xml:space="preserve">単価</t>
  </si>
  <si>
    <t xml:space="preserve">単位</t>
  </si>
  <si>
    <t xml:space="preserve">算出根拠</t>
  </si>
  <si>
    <r>
      <rPr>
        <sz val="9"/>
        <color rgb="FF6C7A87"/>
        <rFont val="WenQuanYi Zen Hei"/>
        <family val="2"/>
      </rPr>
      <t xml:space="preserve">円／</t>
    </r>
    <r>
      <rPr>
        <sz val="9"/>
        <color rgb="FF6C7A87"/>
        <rFont val="Meiryo"/>
        <family val="0"/>
        <charset val="1"/>
      </rPr>
      <t xml:space="preserve">GB</t>
    </r>
  </si>
  <si>
    <r>
      <rPr>
        <sz val="9"/>
        <color rgb="FF6C7A87"/>
        <rFont val="Meiryo"/>
        <family val="0"/>
        <charset val="1"/>
      </rPr>
      <t xml:space="preserve">CloudFront </t>
    </r>
    <r>
      <rPr>
        <sz val="9"/>
        <color rgb="FF6C7A87"/>
        <rFont val="WenQuanYi Zen Hei"/>
        <family val="2"/>
      </rPr>
      <t xml:space="preserve">日本 </t>
    </r>
    <r>
      <rPr>
        <sz val="9"/>
        <color rgb="FF6C7A87"/>
        <rFont val="Meiryo"/>
        <family val="0"/>
        <charset val="1"/>
      </rPr>
      <t xml:space="preserve">$0.114</t>
    </r>
    <r>
      <rPr>
        <sz val="9"/>
        <color rgb="FF6C7A87"/>
        <rFont val="WenQuanYi Zen Hei"/>
        <family val="2"/>
      </rPr>
      <t xml:space="preserve">／</t>
    </r>
    <r>
      <rPr>
        <sz val="9"/>
        <color rgb="FF6C7A87"/>
        <rFont val="Meiryo"/>
        <family val="0"/>
        <charset val="1"/>
      </rPr>
      <t xml:space="preserve">GB</t>
    </r>
  </si>
  <si>
    <r>
      <rPr>
        <sz val="9"/>
        <color rgb="FF6C7A87"/>
        <rFont val="WenQuanYi Zen Hei"/>
        <family val="2"/>
      </rPr>
      <t xml:space="preserve">月</t>
    </r>
    <r>
      <rPr>
        <sz val="9"/>
        <color rgb="FF6C7A87"/>
        <rFont val="Meiryo"/>
        <family val="0"/>
        <charset val="1"/>
      </rPr>
      <t xml:space="preserve">1TB</t>
    </r>
    <r>
      <rPr>
        <sz val="9"/>
        <color rgb="FF6C7A87"/>
        <rFont val="WenQuanYi Zen Hei"/>
        <family val="2"/>
      </rPr>
      <t xml:space="preserve">まで無料枠あり</t>
    </r>
  </si>
  <si>
    <r>
      <rPr>
        <sz val="9"/>
        <color rgb="FF6C7A87"/>
        <rFont val="WenQuanYi Zen Hei"/>
        <family val="2"/>
      </rPr>
      <t xml:space="preserve">円／</t>
    </r>
    <r>
      <rPr>
        <sz val="9"/>
        <color rgb="FF6C7A87"/>
        <rFont val="Meiryo"/>
        <family val="0"/>
        <charset val="1"/>
      </rPr>
      <t xml:space="preserve">GB</t>
    </r>
    <r>
      <rPr>
        <sz val="9"/>
        <color rgb="FF6C7A87"/>
        <rFont val="WenQuanYi Zen Hei"/>
        <family val="2"/>
      </rPr>
      <t xml:space="preserve">／月</t>
    </r>
  </si>
  <si>
    <r>
      <rPr>
        <sz val="9"/>
        <color rgb="FF6C7A87"/>
        <rFont val="Meiryo"/>
        <family val="0"/>
        <charset val="1"/>
      </rPr>
      <t xml:space="preserve">S3</t>
    </r>
    <r>
      <rPr>
        <sz val="9"/>
        <color rgb="FF6C7A87"/>
        <rFont val="WenQuanYi Zen Hei"/>
        <family val="2"/>
      </rPr>
      <t xml:space="preserve">標準 </t>
    </r>
    <r>
      <rPr>
        <sz val="9"/>
        <color rgb="FF6C7A87"/>
        <rFont val="Meiryo"/>
        <family val="0"/>
        <charset val="1"/>
      </rPr>
      <t xml:space="preserve">$0.025</t>
    </r>
    <r>
      <rPr>
        <sz val="9"/>
        <color rgb="FF6C7A87"/>
        <rFont val="WenQuanYi Zen Hei"/>
        <family val="2"/>
      </rPr>
      <t xml:space="preserve">／</t>
    </r>
    <r>
      <rPr>
        <sz val="9"/>
        <color rgb="FF6C7A87"/>
        <rFont val="Meiryo"/>
        <family val="0"/>
        <charset val="1"/>
      </rPr>
      <t xml:space="preserve">GB</t>
    </r>
    <r>
      <rPr>
        <sz val="9"/>
        <color rgb="FF6C7A87"/>
        <rFont val="WenQuanYi Zen Hei"/>
        <family val="2"/>
      </rPr>
      <t xml:space="preserve">／月</t>
    </r>
  </si>
  <si>
    <t xml:space="preserve">本人確認画像の蓄積分</t>
  </si>
  <si>
    <t xml:space="preserve">円／回</t>
  </si>
  <si>
    <t xml:space="preserve">Rekognition CompareFaces</t>
  </si>
  <si>
    <r>
      <rPr>
        <sz val="9"/>
        <color rgb="FF6C7A87"/>
        <rFont val="Meiryo"/>
        <family val="0"/>
        <charset val="1"/>
      </rPr>
      <t xml:space="preserve">1</t>
    </r>
    <r>
      <rPr>
        <sz val="9"/>
        <color rgb="FF6C7A87"/>
        <rFont val="WenQuanYi Zen Hei"/>
        <family val="2"/>
      </rPr>
      <t xml:space="preserve">人あたり</t>
    </r>
    <r>
      <rPr>
        <sz val="9"/>
        <color rgb="FF6C7A87"/>
        <rFont val="Meiryo"/>
        <family val="0"/>
        <charset val="1"/>
      </rPr>
      <t xml:space="preserve">22</t>
    </r>
    <r>
      <rPr>
        <sz val="9"/>
        <color rgb="FF6C7A87"/>
        <rFont val="WenQuanYi Zen Hei"/>
        <family val="2"/>
      </rPr>
      <t xml:space="preserve">回</t>
    </r>
  </si>
  <si>
    <t xml:space="preserve">Rekognition Face Liveness</t>
  </si>
  <si>
    <r>
      <rPr>
        <sz val="9"/>
        <color rgb="FF6C7A87"/>
        <rFont val="Meiryo"/>
        <family val="0"/>
        <charset val="1"/>
      </rPr>
      <t xml:space="preserve">1</t>
    </r>
    <r>
      <rPr>
        <sz val="9"/>
        <color rgb="FF6C7A87"/>
        <rFont val="WenQuanYi Zen Hei"/>
        <family val="2"/>
      </rPr>
      <t xml:space="preserve">人あたり</t>
    </r>
    <r>
      <rPr>
        <sz val="9"/>
        <color rgb="FF6C7A87"/>
        <rFont val="Meiryo"/>
        <family val="0"/>
        <charset val="1"/>
      </rPr>
      <t xml:space="preserve">1</t>
    </r>
    <r>
      <rPr>
        <sz val="9"/>
        <color rgb="FF6C7A87"/>
        <rFont val="WenQuanYi Zen Hei"/>
        <family val="2"/>
      </rPr>
      <t xml:space="preserve">回</t>
    </r>
  </si>
  <si>
    <t xml:space="preserve">円／通</t>
  </si>
  <si>
    <t xml:space="preserve">SES</t>
  </si>
  <si>
    <r>
      <rPr>
        <sz val="9"/>
        <color rgb="FF6C7A87"/>
        <rFont val="Meiryo"/>
        <family val="0"/>
        <charset val="1"/>
      </rPr>
      <t xml:space="preserve">1</t>
    </r>
    <r>
      <rPr>
        <sz val="9"/>
        <color rgb="FF6C7A87"/>
        <rFont val="WenQuanYi Zen Hei"/>
        <family val="2"/>
      </rPr>
      <t xml:space="preserve">人あたり約</t>
    </r>
    <r>
      <rPr>
        <sz val="9"/>
        <color rgb="FF6C7A87"/>
        <rFont val="Meiryo"/>
        <family val="0"/>
        <charset val="1"/>
      </rPr>
      <t xml:space="preserve">5</t>
    </r>
    <r>
      <rPr>
        <sz val="9"/>
        <color rgb="FF6C7A87"/>
        <rFont val="WenQuanYi Zen Hei"/>
        <family val="2"/>
      </rPr>
      <t xml:space="preserve">通</t>
    </r>
  </si>
  <si>
    <r>
      <rPr>
        <b val="true"/>
        <sz val="10"/>
        <color rgb="FF1B3A57"/>
        <rFont val="Meiryo"/>
        <family val="0"/>
        <charset val="1"/>
      </rPr>
      <t xml:space="preserve">D. </t>
    </r>
    <r>
      <rPr>
        <b val="true"/>
        <sz val="10"/>
        <color rgb="FF1B3A57"/>
        <rFont val="WenQuanYi Zen Hei"/>
        <family val="2"/>
      </rPr>
      <t xml:space="preserve">制作期間中のみ</t>
    </r>
  </si>
  <si>
    <r>
      <rPr>
        <sz val="9"/>
        <color rgb="FF6C7A87"/>
        <rFont val="Meiryo"/>
        <family val="0"/>
        <charset val="1"/>
      </rPr>
      <t xml:space="preserve">HeyGen</t>
    </r>
    <r>
      <rPr>
        <sz val="9"/>
        <color rgb="FF6C7A87"/>
        <rFont val="WenQuanYi Zen Hei"/>
        <family val="2"/>
      </rPr>
      <t xml:space="preserve">等の動画生成サービスの月額利用料。</t>
    </r>
    <r>
      <rPr>
        <sz val="9"/>
        <color rgb="FF6C7A87"/>
        <rFont val="Meiryo"/>
        <family val="0"/>
        <charset val="1"/>
      </rPr>
      <t xml:space="preserve">10</t>
    </r>
    <r>
      <rPr>
        <sz val="9"/>
        <color rgb="FF6C7A87"/>
        <rFont val="WenQuanYi Zen Hei"/>
        <family val="2"/>
      </rPr>
      <t xml:space="preserve">科目の制作が完了すれば解約できます</t>
    </r>
  </si>
  <si>
    <t xml:space="preserve">■ 注意</t>
  </si>
  <si>
    <r>
      <rPr>
        <sz val="9.5"/>
        <color rgb="FF6C7A87"/>
        <rFont val="WenQuanYi Zen Hei"/>
        <family val="2"/>
      </rPr>
      <t xml:space="preserve">・</t>
    </r>
    <r>
      <rPr>
        <sz val="9.5"/>
        <color rgb="FF6C7A87"/>
        <rFont val="Meiryo"/>
        <family val="0"/>
        <charset val="1"/>
      </rPr>
      <t xml:space="preserve">AWS</t>
    </r>
    <r>
      <rPr>
        <sz val="9.5"/>
        <color rgb="FF6C7A87"/>
        <rFont val="WenQuanYi Zen Hei"/>
        <family val="2"/>
      </rPr>
      <t xml:space="preserve">の単価は</t>
    </r>
    <r>
      <rPr>
        <sz val="9.5"/>
        <color rgb="FF6C7A87"/>
        <rFont val="Meiryo"/>
        <family val="0"/>
        <charset val="1"/>
      </rPr>
      <t xml:space="preserve">2026</t>
    </r>
    <r>
      <rPr>
        <sz val="9.5"/>
        <color rgb="FF6C7A87"/>
        <rFont val="WenQuanYi Zen Hei"/>
        <family val="2"/>
      </rPr>
      <t xml:space="preserve">年</t>
    </r>
    <r>
      <rPr>
        <sz val="9.5"/>
        <color rgb="FF6C7A87"/>
        <rFont val="Meiryo"/>
        <family val="0"/>
        <charset val="1"/>
      </rPr>
      <t xml:space="preserve">9</t>
    </r>
    <r>
      <rPr>
        <sz val="9.5"/>
        <color rgb="FF6C7A87"/>
        <rFont val="WenQuanYi Zen Hei"/>
        <family val="2"/>
      </rPr>
      <t xml:space="preserve">月時点の公開情報に基づく想定です。実際の請求は構成と使用量で変動します。</t>
    </r>
  </si>
  <si>
    <r>
      <rPr>
        <sz val="9.5"/>
        <color rgb="FF6C7A87"/>
        <rFont val="WenQuanYi Zen Hei"/>
        <family val="2"/>
      </rPr>
      <t xml:space="preserve">・正式なご提示の前に、実構成での</t>
    </r>
    <r>
      <rPr>
        <sz val="9.5"/>
        <color rgb="FF6C7A87"/>
        <rFont val="Meiryo"/>
        <family val="0"/>
        <charset val="1"/>
      </rPr>
      <t xml:space="preserve">AWS Pricing Calculator</t>
    </r>
    <r>
      <rPr>
        <sz val="9.5"/>
        <color rgb="FF6C7A87"/>
        <rFont val="WenQuanYi Zen Hei"/>
        <family val="2"/>
      </rPr>
      <t xml:space="preserve">による試算をお勧めします。</t>
    </r>
  </si>
  <si>
    <r>
      <rPr>
        <sz val="9.5"/>
        <color rgb="FF6C7A87"/>
        <rFont val="WenQuanYi Zen Hei"/>
        <family val="2"/>
      </rPr>
      <t xml:space="preserve">・</t>
    </r>
    <r>
      <rPr>
        <sz val="9.5"/>
        <color rgb="FF6C7A87"/>
        <rFont val="Meiryo"/>
        <family val="0"/>
        <charset val="1"/>
      </rPr>
      <t xml:space="preserve">Savings Plans</t>
    </r>
    <r>
      <rPr>
        <sz val="9.5"/>
        <color rgb="FF6C7A87"/>
        <rFont val="WenQuanYi Zen Hei"/>
        <family val="2"/>
      </rPr>
      <t xml:space="preserve">（</t>
    </r>
    <r>
      <rPr>
        <sz val="9.5"/>
        <color rgb="FF6C7A87"/>
        <rFont val="Meiryo"/>
        <family val="0"/>
        <charset val="1"/>
      </rPr>
      <t xml:space="preserve">1</t>
    </r>
    <r>
      <rPr>
        <sz val="9.5"/>
        <color rgb="FF6C7A87"/>
        <rFont val="WenQuanYi Zen Hei"/>
        <family val="2"/>
      </rPr>
      <t xml:space="preserve">年契約）を利用すると、</t>
    </r>
    <r>
      <rPr>
        <sz val="9.5"/>
        <color rgb="FF6C7A87"/>
        <rFont val="Meiryo"/>
        <family val="0"/>
        <charset val="1"/>
      </rPr>
      <t xml:space="preserve">EC2</t>
    </r>
    <r>
      <rPr>
        <sz val="9.5"/>
        <color rgb="FF6C7A87"/>
        <rFont val="WenQuanYi Zen Hei"/>
        <family val="2"/>
      </rPr>
      <t xml:space="preserve">と</t>
    </r>
    <r>
      <rPr>
        <sz val="9.5"/>
        <color rgb="FF6C7A87"/>
        <rFont val="Meiryo"/>
        <family val="0"/>
        <charset val="1"/>
      </rPr>
      <t xml:space="preserve">RDS</t>
    </r>
    <r>
      <rPr>
        <sz val="9.5"/>
        <color rgb="FF6C7A87"/>
        <rFont val="WenQuanYi Zen Hei"/>
        <family val="2"/>
      </rPr>
      <t xml:space="preserve">でおおむね</t>
    </r>
    <r>
      <rPr>
        <sz val="9.5"/>
        <color rgb="FF6C7A87"/>
        <rFont val="Meiryo"/>
        <family val="0"/>
        <charset val="1"/>
      </rPr>
      <t xml:space="preserve">30%</t>
    </r>
    <r>
      <rPr>
        <sz val="9.5"/>
        <color rgb="FF6C7A87"/>
        <rFont val="WenQuanYi Zen Hei"/>
        <family val="2"/>
      </rPr>
      <t xml:space="preserve">程度の削減が見込めます。</t>
    </r>
  </si>
  <si>
    <t xml:space="preserve">サーバー構成の比較</t>
  </si>
  <si>
    <r>
      <rPr>
        <sz val="9"/>
        <color rgb="FF6C7A87"/>
        <rFont val="WenQuanYi Zen Hei"/>
        <family val="2"/>
      </rPr>
      <t xml:space="preserve">配信システム基本設計書 </t>
    </r>
    <r>
      <rPr>
        <sz val="9"/>
        <color rgb="FF6C7A87"/>
        <rFont val="Meiryo"/>
        <family val="0"/>
        <charset val="1"/>
      </rPr>
      <t xml:space="preserve">1.1 </t>
    </r>
    <r>
      <rPr>
        <sz val="9"/>
        <color rgb="FF6C7A87"/>
        <rFont val="WenQuanYi Zen Hei"/>
        <family val="2"/>
      </rPr>
      <t xml:space="preserve">の前提（</t>
    </r>
    <r>
      <rPr>
        <sz val="9"/>
        <color rgb="FF6C7A87"/>
        <rFont val="Meiryo"/>
        <family val="0"/>
        <charset val="1"/>
      </rPr>
      <t xml:space="preserve">PHP 8.3</t>
    </r>
    <r>
      <rPr>
        <sz val="9"/>
        <color rgb="FF6C7A87"/>
        <rFont val="WenQuanYi Zen Hei"/>
        <family val="2"/>
      </rPr>
      <t xml:space="preserve">／</t>
    </r>
    <r>
      <rPr>
        <sz val="9"/>
        <color rgb="FF6C7A87"/>
        <rFont val="Meiryo"/>
        <family val="0"/>
        <charset val="1"/>
      </rPr>
      <t xml:space="preserve">Laravel</t>
    </r>
    <r>
      <rPr>
        <sz val="9"/>
        <color rgb="FF6C7A87"/>
        <rFont val="WenQuanYi Zen Hei"/>
        <family val="2"/>
      </rPr>
      <t xml:space="preserve">／</t>
    </r>
    <r>
      <rPr>
        <sz val="9"/>
        <color rgb="FF6C7A87"/>
        <rFont val="Meiryo"/>
        <family val="0"/>
        <charset val="1"/>
      </rPr>
      <t xml:space="preserve">PostgreSQL</t>
    </r>
    <r>
      <rPr>
        <sz val="9"/>
        <color rgb="FF6C7A87"/>
        <rFont val="WenQuanYi Zen Hei"/>
        <family val="2"/>
      </rPr>
      <t xml:space="preserve">／</t>
    </r>
    <r>
      <rPr>
        <sz val="9"/>
        <color rgb="FF6C7A87"/>
        <rFont val="Meiryo"/>
        <family val="0"/>
        <charset val="1"/>
      </rPr>
      <t xml:space="preserve">Redis</t>
    </r>
    <r>
      <rPr>
        <sz val="9"/>
        <color rgb="FF6C7A87"/>
        <rFont val="WenQuanYi Zen Hei"/>
        <family val="2"/>
      </rPr>
      <t xml:space="preserve">／</t>
    </r>
    <r>
      <rPr>
        <sz val="9"/>
        <color rgb="FF6C7A87"/>
        <rFont val="Meiryo"/>
        <family val="0"/>
        <charset val="1"/>
      </rPr>
      <t xml:space="preserve">HLS</t>
    </r>
    <r>
      <rPr>
        <sz val="9"/>
        <color rgb="FF6C7A87"/>
        <rFont val="WenQuanYi Zen Hei"/>
        <family val="2"/>
      </rPr>
      <t xml:space="preserve">／</t>
    </r>
    <r>
      <rPr>
        <sz val="9"/>
        <color rgb="FF6C7A87"/>
        <rFont val="Meiryo"/>
        <family val="0"/>
        <charset val="1"/>
      </rPr>
      <t xml:space="preserve">FFmpeg</t>
    </r>
    <r>
      <rPr>
        <sz val="9"/>
        <color rgb="FF6C7A87"/>
        <rFont val="WenQuanYi Zen Hei"/>
        <family val="2"/>
      </rPr>
      <t xml:space="preserve">／常駐ワーカー）に照らした評価です。</t>
    </r>
  </si>
  <si>
    <t xml:space="preserve">評価項目</t>
  </si>
  <si>
    <t xml:space="preserve">エックスサーバー（共用）</t>
  </si>
  <si>
    <t xml:space="preserve">Xserver VPS</t>
  </si>
  <si>
    <r>
      <rPr>
        <b val="true"/>
        <sz val="9.5"/>
        <color rgb="FFFFFFFF"/>
        <rFont val="Meiryo"/>
        <family val="0"/>
        <charset val="1"/>
      </rPr>
      <t xml:space="preserve">AWS</t>
    </r>
    <r>
      <rPr>
        <b val="true"/>
        <sz val="9.5"/>
        <color rgb="FFFFFFFF"/>
        <rFont val="WenQuanYi Zen Hei"/>
        <family val="2"/>
      </rPr>
      <t xml:space="preserve">（採用）</t>
    </r>
  </si>
  <si>
    <t xml:space="preserve">月額の目安</t>
  </si>
  <si>
    <r>
      <rPr>
        <sz val="9.5"/>
        <color rgb="FF1A2430"/>
        <rFont val="Meiryo"/>
        <family val="0"/>
        <charset val="1"/>
      </rPr>
      <t xml:space="preserve">1,100</t>
    </r>
    <r>
      <rPr>
        <sz val="9.5"/>
        <color rgb="FF1A2430"/>
        <rFont val="WenQuanYi Zen Hei"/>
        <family val="2"/>
      </rPr>
      <t xml:space="preserve">円程度</t>
    </r>
  </si>
  <si>
    <r>
      <rPr>
        <sz val="9.5"/>
        <color rgb="FF1A2430"/>
        <rFont val="Meiryo"/>
        <family val="0"/>
        <charset val="1"/>
      </rPr>
      <t xml:space="preserve">4,000</t>
    </r>
    <r>
      <rPr>
        <sz val="9.5"/>
        <color rgb="FF1A2430"/>
        <rFont val="WenQuanYi Zen Hei"/>
        <family val="2"/>
      </rPr>
      <t xml:space="preserve">〜</t>
    </r>
    <r>
      <rPr>
        <sz val="9.5"/>
        <color rgb="FF1A2430"/>
        <rFont val="Meiryo"/>
        <family val="0"/>
        <charset val="1"/>
      </rPr>
      <t xml:space="preserve">10,000</t>
    </r>
    <r>
      <rPr>
        <sz val="9.5"/>
        <color rgb="FF1A2430"/>
        <rFont val="WenQuanYi Zen Hei"/>
        <family val="2"/>
      </rPr>
      <t xml:space="preserve">円程度</t>
    </r>
  </si>
  <si>
    <r>
      <rPr>
        <sz val="9.5"/>
        <color rgb="FF1A2430"/>
        <rFont val="Meiryo"/>
        <family val="0"/>
        <charset val="1"/>
      </rPr>
      <t xml:space="preserve">36,000</t>
    </r>
    <r>
      <rPr>
        <sz val="9.5"/>
        <color rgb="FF1A2430"/>
        <rFont val="WenQuanYi Zen Hei"/>
        <family val="2"/>
      </rPr>
      <t xml:space="preserve">円程度（本番構成）</t>
    </r>
  </si>
  <si>
    <t xml:space="preserve">PostgreSQL</t>
  </si>
  <si>
    <r>
      <rPr>
        <sz val="9.5"/>
        <color rgb="FF9E2F27"/>
        <rFont val="WenQuanYi Zen Hei"/>
        <family val="2"/>
      </rPr>
      <t xml:space="preserve">✕ 非対応（</t>
    </r>
    <r>
      <rPr>
        <sz val="9.5"/>
        <color rgb="FF9E2F27"/>
        <rFont val="Meiryo"/>
        <family val="0"/>
        <charset val="1"/>
      </rPr>
      <t xml:space="preserve">MySQL</t>
    </r>
    <r>
      <rPr>
        <sz val="9.5"/>
        <color rgb="FF9E2F27"/>
        <rFont val="WenQuanYi Zen Hei"/>
        <family val="2"/>
      </rPr>
      <t xml:space="preserve">系のみ）</t>
    </r>
  </si>
  <si>
    <t xml:space="preserve">○ 自分で導入</t>
  </si>
  <si>
    <r>
      <rPr>
        <sz val="9.5"/>
        <color rgb="FF1E6B4A"/>
        <rFont val="Meiryo"/>
        <family val="0"/>
        <charset val="1"/>
      </rPr>
      <t xml:space="preserve">◎ RDS </t>
    </r>
    <r>
      <rPr>
        <sz val="9.5"/>
        <color rgb="FF1E6B4A"/>
        <rFont val="WenQuanYi Zen Hei"/>
        <family val="2"/>
      </rPr>
      <t xml:space="preserve">マネージド</t>
    </r>
  </si>
  <si>
    <t xml:space="preserve">Redis</t>
  </si>
  <si>
    <t xml:space="preserve">✕ 使えない</t>
  </si>
  <si>
    <t xml:space="preserve">◎ ElastiCache</t>
  </si>
  <si>
    <r>
      <rPr>
        <b val="true"/>
        <sz val="10"/>
        <color rgb="FF1A2430"/>
        <rFont val="Meiryo"/>
        <family val="0"/>
        <charset val="1"/>
      </rPr>
      <t xml:space="preserve">FFmpeg</t>
    </r>
    <r>
      <rPr>
        <b val="true"/>
        <sz val="10"/>
        <color rgb="FF1A2430"/>
        <rFont val="WenQuanYi Zen Hei"/>
        <family val="2"/>
      </rPr>
      <t xml:space="preserve">での動画変換</t>
    </r>
  </si>
  <si>
    <t xml:space="preserve">✕ 実行制限で不可</t>
  </si>
  <si>
    <t xml:space="preserve">○ 可能</t>
  </si>
  <si>
    <t xml:space="preserve">◎ 可能</t>
  </si>
  <si>
    <r>
      <rPr>
        <b val="true"/>
        <sz val="10"/>
        <color rgb="FF1A2430"/>
        <rFont val="WenQuanYi Zen Hei"/>
        <family val="2"/>
      </rPr>
      <t xml:space="preserve">常駐ワーカー（</t>
    </r>
    <r>
      <rPr>
        <b val="true"/>
        <sz val="10"/>
        <color rgb="FF1A2430"/>
        <rFont val="Meiryo"/>
        <family val="0"/>
        <charset val="1"/>
      </rPr>
      <t xml:space="preserve">Queue</t>
    </r>
    <r>
      <rPr>
        <b val="true"/>
        <sz val="10"/>
        <color rgb="FF1A2430"/>
        <rFont val="WenQuanYi Zen Hei"/>
        <family val="2"/>
      </rPr>
      <t xml:space="preserve">／</t>
    </r>
    <r>
      <rPr>
        <b val="true"/>
        <sz val="10"/>
        <color rgb="FF1A2430"/>
        <rFont val="Meiryo"/>
        <family val="0"/>
        <charset val="1"/>
      </rPr>
      <t xml:space="preserve">Scheduler</t>
    </r>
    <r>
      <rPr>
        <b val="true"/>
        <sz val="10"/>
        <color rgb="FF1A2430"/>
        <rFont val="WenQuanYi Zen Hei"/>
        <family val="2"/>
      </rPr>
      <t xml:space="preserve">）</t>
    </r>
  </si>
  <si>
    <t xml:space="preserve">✕ 持てない</t>
  </si>
  <si>
    <r>
      <rPr>
        <b val="true"/>
        <sz val="10"/>
        <color rgb="FF1A2430"/>
        <rFont val="Meiryo"/>
        <family val="0"/>
        <charset val="1"/>
      </rPr>
      <t xml:space="preserve">HLS</t>
    </r>
    <r>
      <rPr>
        <b val="true"/>
        <sz val="10"/>
        <color rgb="FF1A2430"/>
        <rFont val="WenQuanYi Zen Hei"/>
        <family val="2"/>
      </rPr>
      <t xml:space="preserve">配信・署名付き</t>
    </r>
    <r>
      <rPr>
        <b val="true"/>
        <sz val="10"/>
        <color rgb="FF1A2430"/>
        <rFont val="Meiryo"/>
        <family val="0"/>
        <charset val="1"/>
      </rPr>
      <t xml:space="preserve">URL</t>
    </r>
    <r>
      <rPr>
        <b val="true"/>
        <sz val="10"/>
        <color rgb="FF1A2430"/>
        <rFont val="WenQuanYi Zen Hei"/>
        <family val="2"/>
      </rPr>
      <t xml:space="preserve">・</t>
    </r>
    <r>
      <rPr>
        <b val="true"/>
        <sz val="10"/>
        <color rgb="FF1A2430"/>
        <rFont val="Meiryo"/>
        <family val="0"/>
        <charset val="1"/>
      </rPr>
      <t xml:space="preserve">CDN</t>
    </r>
  </si>
  <si>
    <t xml:space="preserve">✕ 実質不可</t>
  </si>
  <si>
    <r>
      <rPr>
        <sz val="9.5"/>
        <color rgb="FF1A2430"/>
        <rFont val="WenQuanYi Zen Hei"/>
        <family val="2"/>
      </rPr>
      <t xml:space="preserve">△ 別途</t>
    </r>
    <r>
      <rPr>
        <sz val="9.5"/>
        <color rgb="FF1A2430"/>
        <rFont val="Meiryo"/>
        <family val="0"/>
        <charset val="1"/>
      </rPr>
      <t xml:space="preserve">CDN</t>
    </r>
    <r>
      <rPr>
        <sz val="9.5"/>
        <color rgb="FF1A2430"/>
        <rFont val="WenQuanYi Zen Hei"/>
        <family val="2"/>
      </rPr>
      <t xml:space="preserve">が必要</t>
    </r>
  </si>
  <si>
    <r>
      <rPr>
        <sz val="9.5"/>
        <color rgb="FF1E6B4A"/>
        <rFont val="Meiryo"/>
        <family val="0"/>
        <charset val="1"/>
      </rPr>
      <t xml:space="preserve">◎ S3</t>
    </r>
    <r>
      <rPr>
        <sz val="9.5"/>
        <color rgb="FF1E6B4A"/>
        <rFont val="WenQuanYi Zen Hei"/>
        <family val="2"/>
      </rPr>
      <t xml:space="preserve">＋</t>
    </r>
    <r>
      <rPr>
        <sz val="9.5"/>
        <color rgb="FF1E6B4A"/>
        <rFont val="Meiryo"/>
        <family val="0"/>
        <charset val="1"/>
      </rPr>
      <t xml:space="preserve">CloudFront</t>
    </r>
  </si>
  <si>
    <r>
      <rPr>
        <b val="true"/>
        <sz val="10"/>
        <color rgb="FF1A2430"/>
        <rFont val="Meiryo"/>
        <family val="0"/>
        <charset val="1"/>
      </rPr>
      <t xml:space="preserve">DB</t>
    </r>
    <r>
      <rPr>
        <b val="true"/>
        <sz val="10"/>
        <color rgb="FF1A2430"/>
        <rFont val="WenQuanYi Zen Hei"/>
        <family val="2"/>
      </rPr>
      <t xml:space="preserve">の自動バックアップ・</t>
    </r>
    <r>
      <rPr>
        <b val="true"/>
        <sz val="10"/>
        <color rgb="FF1A2430"/>
        <rFont val="Meiryo"/>
        <family val="0"/>
        <charset val="1"/>
      </rPr>
      <t xml:space="preserve">PITR</t>
    </r>
  </si>
  <si>
    <t xml:space="preserve">✕</t>
  </si>
  <si>
    <t xml:space="preserve">△ 自分で仕組みを作る</t>
  </si>
  <si>
    <t xml:space="preserve">◎ 標準機能</t>
  </si>
  <si>
    <t xml:space="preserve">障害時の自動切替</t>
  </si>
  <si>
    <r>
      <rPr>
        <sz val="9.5"/>
        <color rgb="FF1E6B4A"/>
        <rFont val="Meiryo"/>
        <family val="0"/>
        <charset val="1"/>
      </rPr>
      <t xml:space="preserve">◎ Multi-AZ </t>
    </r>
    <r>
      <rPr>
        <sz val="9.5"/>
        <color rgb="FF1E6B4A"/>
        <rFont val="WenQuanYi Zen Hei"/>
        <family val="2"/>
      </rPr>
      <t xml:space="preserve">で自動</t>
    </r>
  </si>
  <si>
    <t xml:space="preserve">受講者増への対応</t>
  </si>
  <si>
    <t xml:space="preserve">△ 手作業でプラン変更</t>
  </si>
  <si>
    <t xml:space="preserve">◎ スケールアウト可能</t>
  </si>
  <si>
    <r>
      <rPr>
        <b val="true"/>
        <sz val="10"/>
        <color rgb="FF1A2430"/>
        <rFont val="WenQuanYi Zen Hei"/>
        <family val="2"/>
      </rPr>
      <t xml:space="preserve">顔照合</t>
    </r>
    <r>
      <rPr>
        <b val="true"/>
        <sz val="10"/>
        <color rgb="FF1A2430"/>
        <rFont val="Meiryo"/>
        <family val="0"/>
        <charset val="1"/>
      </rPr>
      <t xml:space="preserve">API </t>
    </r>
    <r>
      <rPr>
        <b val="true"/>
        <sz val="10"/>
        <color rgb="FF1A2430"/>
        <rFont val="WenQuanYi Zen Hei"/>
        <family val="2"/>
      </rPr>
      <t xml:space="preserve">との親和性</t>
    </r>
  </si>
  <si>
    <t xml:space="preserve">―</t>
  </si>
  <si>
    <t xml:space="preserve">△ 外部連携</t>
  </si>
  <si>
    <t xml:space="preserve">◎ 同一基盤・国内リージョン</t>
  </si>
  <si>
    <t xml:space="preserve">総合評価</t>
  </si>
  <si>
    <t xml:space="preserve">✕ 採用不可</t>
  </si>
  <si>
    <t xml:space="preserve">△ 条件付きで可</t>
  </si>
  <si>
    <t xml:space="preserve">◎ 本件で採用</t>
  </si>
  <si>
    <r>
      <rPr>
        <b val="true"/>
        <sz val="10"/>
        <color rgb="FF1B3A57"/>
        <rFont val="Meiryo"/>
        <family val="0"/>
        <charset val="1"/>
      </rPr>
      <t xml:space="preserve">■ AWS</t>
    </r>
    <r>
      <rPr>
        <b val="true"/>
        <sz val="10"/>
        <color rgb="FF1B3A57"/>
        <rFont val="WenQuanYi Zen Hei"/>
        <family val="2"/>
      </rPr>
      <t xml:space="preserve">を採用する理由</t>
    </r>
  </si>
  <si>
    <t xml:space="preserve">エックスサーバーの共用レンタルサーバーでは、この設計は動きません。</t>
  </si>
  <si>
    <r>
      <rPr>
        <sz val="10"/>
        <color rgb="FF6C7A87"/>
        <rFont val="WenQuanYi Zen Hei"/>
        <family val="2"/>
      </rPr>
      <t xml:space="preserve">　</t>
    </r>
    <r>
      <rPr>
        <sz val="10"/>
        <color rgb="FF6C7A87"/>
        <rFont val="Meiryo"/>
        <family val="0"/>
        <charset val="1"/>
      </rPr>
      <t xml:space="preserve">PostgreSQL</t>
    </r>
    <r>
      <rPr>
        <sz val="10"/>
        <color rgb="FF6C7A87"/>
        <rFont val="WenQuanYi Zen Hei"/>
        <family val="2"/>
      </rPr>
      <t xml:space="preserve">も</t>
    </r>
    <r>
      <rPr>
        <sz val="10"/>
        <color rgb="FF6C7A87"/>
        <rFont val="Meiryo"/>
        <family val="0"/>
        <charset val="1"/>
      </rPr>
      <t xml:space="preserve">Redis</t>
    </r>
    <r>
      <rPr>
        <sz val="10"/>
        <color rgb="FF6C7A87"/>
        <rFont val="WenQuanYi Zen Hei"/>
        <family val="2"/>
      </rPr>
      <t xml:space="preserve">も使えず、</t>
    </r>
    <r>
      <rPr>
        <sz val="10"/>
        <color rgb="FF6C7A87"/>
        <rFont val="Meiryo"/>
        <family val="0"/>
        <charset val="1"/>
      </rPr>
      <t xml:space="preserve">FFmpeg</t>
    </r>
    <r>
      <rPr>
        <sz val="10"/>
        <color rgb="FF6C7A87"/>
        <rFont val="WenQuanYi Zen Hei"/>
        <family val="2"/>
      </rPr>
      <t xml:space="preserve">での動画変換も常駐ワーカーも持てません。</t>
    </r>
  </si>
  <si>
    <r>
      <rPr>
        <sz val="10"/>
        <color rgb="FF1A2430"/>
        <rFont val="Meiryo"/>
        <family val="0"/>
        <charset val="1"/>
      </rPr>
      <t xml:space="preserve">Xserver VPS</t>
    </r>
    <r>
      <rPr>
        <sz val="10"/>
        <color rgb="FF1A2430"/>
        <rFont val="WenQuanYi Zen Hei"/>
        <family val="2"/>
      </rPr>
      <t xml:space="preserve">なら技術的には構築できますが、バックアップ・冗長化・監視・スケールを</t>
    </r>
  </si>
  <si>
    <t xml:space="preserve">　すべて自前で作ることになり、障害時の復旧時間が読めません。</t>
  </si>
  <si>
    <r>
      <rPr>
        <b val="true"/>
        <sz val="10"/>
        <color rgb="FF1E6B4A"/>
        <rFont val="WenQuanYi Zen Hei"/>
        <family val="2"/>
      </rPr>
      <t xml:space="preserve">本件で</t>
    </r>
    <r>
      <rPr>
        <b val="true"/>
        <sz val="10"/>
        <color rgb="FF1E6B4A"/>
        <rFont val="Meiryo"/>
        <family val="0"/>
        <charset val="1"/>
      </rPr>
      <t xml:space="preserve">AWS</t>
    </r>
    <r>
      <rPr>
        <b val="true"/>
        <sz val="10"/>
        <color rgb="FF1E6B4A"/>
        <rFont val="WenQuanYi Zen Hei"/>
        <family val="2"/>
      </rPr>
      <t xml:space="preserve">を採用する理由は、費用ではなく記録を失わないためです。</t>
    </r>
  </si>
  <si>
    <r>
      <rPr>
        <sz val="10"/>
        <color rgb="FF6C7A87"/>
        <rFont val="WenQuanYi Zen Hei"/>
        <family val="2"/>
      </rPr>
      <t xml:space="preserve">　本人確認と受講の記録には</t>
    </r>
    <r>
      <rPr>
        <sz val="10"/>
        <color rgb="FF6C7A87"/>
        <rFont val="Meiryo"/>
        <family val="0"/>
        <charset val="1"/>
      </rPr>
      <t xml:space="preserve">3</t>
    </r>
    <r>
      <rPr>
        <sz val="10"/>
        <color rgb="FF6C7A87"/>
        <rFont val="WenQuanYi Zen Hei"/>
        <family val="2"/>
      </rPr>
      <t xml:space="preserve">年以上の保存義務があります。この記録を失うことは、</t>
    </r>
  </si>
  <si>
    <t xml:space="preserve">　事業の根幹である「証明できること」が崩れることを意味します。</t>
  </si>
  <si>
    <r>
      <rPr>
        <sz val="10"/>
        <color rgb="FF6C7A87"/>
        <rFont val="WenQuanYi Zen Hei"/>
        <family val="2"/>
      </rPr>
      <t xml:space="preserve">　</t>
    </r>
    <r>
      <rPr>
        <sz val="10"/>
        <color rgb="FF6C7A87"/>
        <rFont val="Meiryo"/>
        <family val="0"/>
        <charset val="1"/>
      </rPr>
      <t xml:space="preserve">RDS</t>
    </r>
    <r>
      <rPr>
        <sz val="10"/>
        <color rgb="FF6C7A87"/>
        <rFont val="WenQuanYi Zen Hei"/>
        <family val="2"/>
      </rPr>
      <t xml:space="preserve">の</t>
    </r>
    <r>
      <rPr>
        <sz val="10"/>
        <color rgb="FF6C7A87"/>
        <rFont val="Meiryo"/>
        <family val="0"/>
        <charset val="1"/>
      </rPr>
      <t xml:space="preserve">Multi-AZ</t>
    </r>
    <r>
      <rPr>
        <sz val="10"/>
        <color rgb="FF6C7A87"/>
        <rFont val="WenQuanYi Zen Hei"/>
        <family val="2"/>
      </rPr>
      <t xml:space="preserve">・自動バックアップ・</t>
    </r>
    <r>
      <rPr>
        <sz val="10"/>
        <color rgb="FF6C7A87"/>
        <rFont val="Meiryo"/>
        <family val="0"/>
        <charset val="1"/>
      </rPr>
      <t xml:space="preserve">PITR</t>
    </r>
    <r>
      <rPr>
        <sz val="10"/>
        <color rgb="FF6C7A87"/>
        <rFont val="WenQuanYi Zen Hei"/>
        <family val="2"/>
      </rPr>
      <t xml:space="preserve">は、この事業では必需品です。</t>
    </r>
  </si>
  <si>
    <r>
      <rPr>
        <sz val="9"/>
        <color rgb="FF6C7A87"/>
        <rFont val="WenQuanYi Zen Hei"/>
        <family val="2"/>
      </rPr>
      <t xml:space="preserve">月額 </t>
    </r>
    <r>
      <rPr>
        <sz val="9"/>
        <color rgb="FF6C7A87"/>
        <rFont val="Meiryo"/>
        <family val="0"/>
        <charset val="1"/>
      </rPr>
      <t xml:space="preserve">20,000</t>
    </r>
    <r>
      <rPr>
        <sz val="9"/>
        <color rgb="FF6C7A87"/>
        <rFont val="WenQuanYi Zen Hei"/>
        <family val="2"/>
      </rPr>
      <t xml:space="preserve">円（税抜）。初期開発費は発生しません。</t>
    </r>
  </si>
  <si>
    <t xml:space="preserve">監視の対象</t>
  </si>
  <si>
    <t xml:space="preserve">官報、厚生労働省の通達・告示、パブリックコメント、安全衛生特別教育規程の改正</t>
  </si>
  <si>
    <r>
      <rPr>
        <sz val="9"/>
        <color rgb="FF6C7A87"/>
        <rFont val="WenQuanYi Zen Hei"/>
        <family val="2"/>
      </rPr>
      <t xml:space="preserve">対象</t>
    </r>
    <r>
      <rPr>
        <sz val="9"/>
        <color rgb="FF6C7A87"/>
        <rFont val="Meiryo"/>
        <family val="0"/>
        <charset val="1"/>
      </rPr>
      <t xml:space="preserve">10</t>
    </r>
    <r>
      <rPr>
        <sz val="9"/>
        <color rgb="FF6C7A87"/>
        <rFont val="WenQuanYi Zen Hei"/>
        <family val="2"/>
      </rPr>
      <t xml:space="preserve">科目に関係しうる範囲</t>
    </r>
  </si>
  <si>
    <t xml:space="preserve">監視の頻度</t>
  </si>
  <si>
    <r>
      <rPr>
        <sz val="9.5"/>
        <color rgb="FF1A2430"/>
        <rFont val="WenQuanYi Zen Hei"/>
        <family val="2"/>
      </rPr>
      <t xml:space="preserve">月</t>
    </r>
    <r>
      <rPr>
        <sz val="9.5"/>
        <color rgb="FF1A2430"/>
        <rFont val="Meiryo"/>
        <family val="0"/>
        <charset val="1"/>
      </rPr>
      <t xml:space="preserve">2</t>
    </r>
    <r>
      <rPr>
        <sz val="9.5"/>
        <color rgb="FF1A2430"/>
        <rFont val="WenQuanYi Zen Hei"/>
        <family val="2"/>
      </rPr>
      <t xml:space="preserve">回（月初・月中）</t>
    </r>
  </si>
  <si>
    <r>
      <rPr>
        <sz val="9"/>
        <color rgb="FF6C7A87"/>
        <rFont val="WenQuanYi Zen Hei"/>
        <family val="2"/>
      </rPr>
      <t xml:space="preserve">法令改正は官報での公布から施行まで数か月〜</t>
    </r>
    <r>
      <rPr>
        <sz val="9"/>
        <color rgb="FF6C7A87"/>
        <rFont val="Meiryo"/>
        <family val="0"/>
        <charset val="1"/>
      </rPr>
      <t xml:space="preserve">1</t>
    </r>
    <r>
      <rPr>
        <sz val="9"/>
        <color rgb="FF6C7A87"/>
        <rFont val="WenQuanYi Zen Hei"/>
        <family val="2"/>
      </rPr>
      <t xml:space="preserve">年の猶予があり、月</t>
    </r>
    <r>
      <rPr>
        <sz val="9"/>
        <color rgb="FF6C7A87"/>
        <rFont val="Meiryo"/>
        <family val="0"/>
        <charset val="1"/>
      </rPr>
      <t xml:space="preserve">2</t>
    </r>
    <r>
      <rPr>
        <sz val="9"/>
        <color rgb="FF6C7A87"/>
        <rFont val="WenQuanYi Zen Hei"/>
        <family val="2"/>
      </rPr>
      <t xml:space="preserve">回で十分に間に合います</t>
    </r>
  </si>
  <si>
    <t xml:space="preserve">検知の方法</t>
  </si>
  <si>
    <r>
      <rPr>
        <sz val="9.5"/>
        <color rgb="FF1A2430"/>
        <rFont val="WenQuanYi Zen Hei"/>
        <family val="2"/>
      </rPr>
      <t xml:space="preserve">対象法令の版を定期取得して差分を検知。あわせてキーワード（各科目名、特別教育、安全衛生特別教育規程 等）で新着を抽出。</t>
    </r>
    <r>
      <rPr>
        <sz val="9.5"/>
        <color rgb="FF1A2430"/>
        <rFont val="Meiryo"/>
        <family val="0"/>
        <charset val="1"/>
      </rPr>
      <t xml:space="preserve">AI</t>
    </r>
    <r>
      <rPr>
        <sz val="9.5"/>
        <color rgb="FF1A2430"/>
        <rFont val="WenQuanYi Zen Hei"/>
        <family val="2"/>
      </rPr>
      <t xml:space="preserve">で対象</t>
    </r>
    <r>
      <rPr>
        <sz val="9.5"/>
        <color rgb="FF1A2430"/>
        <rFont val="Meiryo"/>
        <family val="0"/>
        <charset val="1"/>
      </rPr>
      <t xml:space="preserve">10</t>
    </r>
    <r>
      <rPr>
        <sz val="9.5"/>
        <color rgb="FF1A2430"/>
        <rFont val="WenQuanYi Zen Hei"/>
        <family val="2"/>
      </rPr>
      <t xml:space="preserve">科目との関連性を判定し、無関係な改正を除外</t>
    </r>
  </si>
  <si>
    <t xml:space="preserve">自動で実行</t>
  </si>
  <si>
    <t xml:space="preserve">通知</t>
  </si>
  <si>
    <t xml:space="preserve">検知したら、聖建様のご担当者と弊社の双方へ同時に自動メールを送信</t>
  </si>
  <si>
    <r>
      <rPr>
        <sz val="9"/>
        <color rgb="FF6C7A87"/>
        <rFont val="WenQuanYi Zen Hei"/>
        <family val="2"/>
      </rPr>
      <t xml:space="preserve">改正の名称、公布日、施行日、該当しうる科目、参照</t>
    </r>
    <r>
      <rPr>
        <sz val="9"/>
        <color rgb="FF6C7A87"/>
        <rFont val="Meiryo"/>
        <family val="0"/>
        <charset val="1"/>
      </rPr>
      <t xml:space="preserve">URL</t>
    </r>
    <r>
      <rPr>
        <sz val="9"/>
        <color rgb="FF6C7A87"/>
        <rFont val="WenQuanYi Zen Hei"/>
        <family val="2"/>
      </rPr>
      <t xml:space="preserve">を記載</t>
    </r>
  </si>
  <si>
    <t xml:space="preserve">見逃しへの備え</t>
  </si>
  <si>
    <r>
      <rPr>
        <sz val="9.5"/>
        <color rgb="FF1A2430"/>
        <rFont val="WenQuanYi Zen Hei"/>
        <family val="2"/>
      </rPr>
      <t xml:space="preserve">公布から施行まで通常は数か月あるため、月</t>
    </r>
    <r>
      <rPr>
        <sz val="9.5"/>
        <color rgb="FF1A2430"/>
        <rFont val="Meiryo"/>
        <family val="0"/>
        <charset val="1"/>
      </rPr>
      <t xml:space="preserve">2</t>
    </r>
    <r>
      <rPr>
        <sz val="9.5"/>
        <color rgb="FF1A2430"/>
        <rFont val="WenQuanYi Zen Hei"/>
        <family val="2"/>
      </rPr>
      <t xml:space="preserve">回の確認で改訂に必要な期間を確保できます</t>
    </r>
  </si>
  <si>
    <t xml:space="preserve">毎日監視しても検知が数日早まるだけで、実務上の差はありません</t>
  </si>
  <si>
    <t xml:space="preserve">月次報告</t>
  </si>
  <si>
    <t xml:space="preserve">該当なしの月も含め、毎月末に監視結果をご報告</t>
  </si>
  <si>
    <t xml:space="preserve">記録として残すことに意味があります</t>
  </si>
  <si>
    <t xml:space="preserve">通知先の設定</t>
  </si>
  <si>
    <t xml:space="preserve">聖建様側の宛先は複数登録できます。担当者の変更にも対応します</t>
  </si>
  <si>
    <t xml:space="preserve">管理画面から変更可能</t>
  </si>
  <si>
    <t xml:space="preserve">改正が見つかったら</t>
  </si>
  <si>
    <t xml:space="preserve">影響範囲をご報告し、改訂が必要と判断された科目について都度お見積りします</t>
  </si>
  <si>
    <r>
      <rPr>
        <sz val="9"/>
        <color rgb="FF6C7A87"/>
        <rFont val="Meiryo"/>
        <family val="0"/>
        <charset val="1"/>
      </rPr>
      <t xml:space="preserve">1</t>
    </r>
    <r>
      <rPr>
        <sz val="9"/>
        <color rgb="FF6C7A87"/>
        <rFont val="WenQuanYi Zen Hei"/>
        <family val="2"/>
      </rPr>
      <t xml:space="preserve">科目 </t>
    </r>
    <r>
      <rPr>
        <sz val="9"/>
        <color rgb="FF6C7A87"/>
        <rFont val="Meiryo"/>
        <family val="0"/>
        <charset val="1"/>
      </rPr>
      <t xml:space="preserve">300,000</t>
    </r>
    <r>
      <rPr>
        <sz val="9"/>
        <color rgb="FF6C7A87"/>
        <rFont val="WenQuanYi Zen Hei"/>
        <family val="2"/>
      </rPr>
      <t xml:space="preserve">円（新規制作と同額）</t>
    </r>
  </si>
  <si>
    <t xml:space="preserve">責任の分担</t>
  </si>
  <si>
    <t xml:space="preserve">工程</t>
  </si>
  <si>
    <t xml:space="preserve">担当</t>
  </si>
  <si>
    <t xml:space="preserve">官報・通達の機械的な監視と通知</t>
  </si>
  <si>
    <t xml:space="preserve">弊社</t>
  </si>
  <si>
    <t xml:space="preserve">毎日の自動監視と、検知時の自動メール通知</t>
  </si>
  <si>
    <t xml:space="preserve">その改正が教材のどこに影響するかの判断</t>
  </si>
  <si>
    <t xml:space="preserve">聖建様の監修者</t>
  </si>
  <si>
    <t xml:space="preserve">法令の解釈と影響範囲の確定。弊社は行いません</t>
  </si>
  <si>
    <t xml:space="preserve">改訂作業の実施</t>
  </si>
  <si>
    <t xml:space="preserve">台本の修正、該当部分の動画の再生成と差し替え、版の更新</t>
  </si>
  <si>
    <t xml:space="preserve">改訂後の内容の承認</t>
  </si>
  <si>
    <t xml:space="preserve">改訂内容が現場の実態と合っているかの確認</t>
  </si>
  <si>
    <t xml:space="preserve">■ なぜこのサービスが必要か</t>
  </si>
  <si>
    <t xml:space="preserve">特別教育の科目・範囲・時間は安全衛生特別教育規程で定められています。</t>
  </si>
  <si>
    <t xml:space="preserve">改正に気づかないまま古い教材を売り続けると、その修了証の有効性が問われます。</t>
  </si>
  <si>
    <t xml:space="preserve">受講者は「現場に入るため」に購入されているため、修了証が無効になれば直接の損害になります。</t>
  </si>
  <si>
    <r>
      <rPr>
        <sz val="10"/>
        <color rgb="FF6C7A87"/>
        <rFont val="WenQuanYi Zen Hei"/>
        <family val="2"/>
      </rPr>
      <t xml:space="preserve">今回の</t>
    </r>
    <r>
      <rPr>
        <sz val="10"/>
        <color rgb="FF6C7A87"/>
        <rFont val="Meiryo"/>
        <family val="0"/>
        <charset val="1"/>
      </rPr>
      <t xml:space="preserve">10</t>
    </r>
    <r>
      <rPr>
        <sz val="10"/>
        <color rgb="FF6C7A87"/>
        <rFont val="WenQuanYi Zen Hei"/>
        <family val="2"/>
      </rPr>
      <t xml:space="preserve">科目には、改正が比較的多い分野が含まれています。</t>
    </r>
  </si>
  <si>
    <t xml:space="preserve">　・石綿　　　　　　　　石綿障害予防規則の改正が続いている領域</t>
  </si>
  <si>
    <t xml:space="preserve">　・特定粉じん　　　　　化学物質規制の見直しの影響を受けやすい</t>
  </si>
  <si>
    <r>
      <rPr>
        <sz val="10"/>
        <color rgb="FF6C7A87"/>
        <rFont val="WenQuanYi Zen Hei"/>
        <family val="2"/>
      </rPr>
      <t xml:space="preserve">　・テールゲートリフター </t>
    </r>
    <r>
      <rPr>
        <sz val="10"/>
        <color rgb="FF6C7A87"/>
        <rFont val="Meiryo"/>
        <family val="0"/>
        <charset val="1"/>
      </rPr>
      <t xml:space="preserve">2024</t>
    </r>
    <r>
      <rPr>
        <sz val="10"/>
        <color rgb="FF6C7A87"/>
        <rFont val="WenQuanYi Zen Hei"/>
        <family val="2"/>
      </rPr>
      <t xml:space="preserve">年に新設されたばかりで運用面の通達が出る可能性</t>
    </r>
  </si>
  <si>
    <t xml:space="preserve">■ 初期開発費が不要な理由</t>
  </si>
  <si>
    <t xml:space="preserve">監視の仕組みは弊社が共通サービスとして保有し、聖建様専用に開発するものではありません。</t>
  </si>
  <si>
    <t xml:space="preserve">そのため初期費用は発生せず、月額でご提供できます。</t>
  </si>
  <si>
    <r>
      <rPr>
        <b val="true"/>
        <sz val="10"/>
        <color rgb="FF1B3A57"/>
        <rFont val="WenQuanYi Zen Hei"/>
        <family val="2"/>
      </rPr>
      <t xml:space="preserve">■ 月額</t>
    </r>
    <r>
      <rPr>
        <b val="true"/>
        <sz val="10"/>
        <color rgb="FF1B3A57"/>
        <rFont val="Meiryo"/>
        <family val="0"/>
        <charset val="1"/>
      </rPr>
      <t xml:space="preserve">20,000</t>
    </r>
    <r>
      <rPr>
        <b val="true"/>
        <sz val="10"/>
        <color rgb="FF1B3A57"/>
        <rFont val="WenQuanYi Zen Hei"/>
        <family val="2"/>
      </rPr>
      <t xml:space="preserve">円の中身（このサービスの運用にかかる費用）</t>
    </r>
  </si>
  <si>
    <r>
      <rPr>
        <sz val="10"/>
        <color rgb="FF6C7A87"/>
        <rFont val="WenQuanYi Zen Hei"/>
        <family val="2"/>
      </rPr>
      <t xml:space="preserve">・</t>
    </r>
    <r>
      <rPr>
        <sz val="10"/>
        <color rgb="FF6C7A87"/>
        <rFont val="Meiryo"/>
        <family val="0"/>
        <charset val="1"/>
      </rPr>
      <t xml:space="preserve">AI</t>
    </r>
    <r>
      <rPr>
        <sz val="10"/>
        <color rgb="FF6C7A87"/>
        <rFont val="WenQuanYi Zen Hei"/>
        <family val="2"/>
      </rPr>
      <t xml:space="preserve">・インフラの実費　　　　　　　　　　　月</t>
    </r>
    <r>
      <rPr>
        <sz val="10"/>
        <color rgb="FF6C7A87"/>
        <rFont val="Meiryo"/>
        <family val="0"/>
        <charset val="1"/>
      </rPr>
      <t xml:space="preserve">100</t>
    </r>
    <r>
      <rPr>
        <sz val="10"/>
        <color rgb="FF6C7A87"/>
        <rFont val="WenQuanYi Zen Hei"/>
        <family val="2"/>
      </rPr>
      <t xml:space="preserve">円程度</t>
    </r>
  </si>
  <si>
    <r>
      <rPr>
        <sz val="10"/>
        <color rgb="FF6C7A87"/>
        <rFont val="WenQuanYi Zen Hei"/>
        <family val="2"/>
      </rPr>
      <t xml:space="preserve">　　月</t>
    </r>
    <r>
      <rPr>
        <sz val="10"/>
        <color rgb="FF6C7A87"/>
        <rFont val="Meiryo"/>
        <family val="0"/>
        <charset val="1"/>
      </rPr>
      <t xml:space="preserve">2</t>
    </r>
    <r>
      <rPr>
        <sz val="10"/>
        <color rgb="FF6C7A87"/>
        <rFont val="WenQuanYi Zen Hei"/>
        <family val="2"/>
      </rPr>
      <t xml:space="preserve">回</t>
    </r>
    <r>
      <rPr>
        <sz val="10"/>
        <color rgb="FF6C7A87"/>
        <rFont val="Meiryo"/>
        <family val="0"/>
        <charset val="1"/>
      </rPr>
      <t xml:space="preserve">×</t>
    </r>
    <r>
      <rPr>
        <sz val="10"/>
        <color rgb="FF6C7A87"/>
        <rFont val="WenQuanYi Zen Hei"/>
        <family val="2"/>
      </rPr>
      <t xml:space="preserve">数十件の関連性判定。</t>
    </r>
    <r>
      <rPr>
        <sz val="10"/>
        <color rgb="FF6C7A87"/>
        <rFont val="Meiryo"/>
        <family val="0"/>
        <charset val="1"/>
      </rPr>
      <t xml:space="preserve">1</t>
    </r>
    <r>
      <rPr>
        <sz val="10"/>
        <color rgb="FF6C7A87"/>
        <rFont val="WenQuanYi Zen Hei"/>
        <family val="2"/>
      </rPr>
      <t xml:space="preserve">回あたり数千トークンのため、費用はごくわずかです。</t>
    </r>
  </si>
  <si>
    <r>
      <rPr>
        <sz val="10"/>
        <color rgb="FF6C7A87"/>
        <rFont val="WenQuanYi Zen Hei"/>
        <family val="2"/>
      </rPr>
      <t xml:space="preserve">・通知内容を人が確認する工数　　　　　　　月</t>
    </r>
    <r>
      <rPr>
        <sz val="10"/>
        <color rgb="FF6C7A87"/>
        <rFont val="Meiryo"/>
        <family val="0"/>
        <charset val="1"/>
      </rPr>
      <t xml:space="preserve">1</t>
    </r>
    <r>
      <rPr>
        <sz val="10"/>
        <color rgb="FF6C7A87"/>
        <rFont val="WenQuanYi Zen Hei"/>
        <family val="2"/>
      </rPr>
      <t xml:space="preserve">〜</t>
    </r>
    <r>
      <rPr>
        <sz val="10"/>
        <color rgb="FF6C7A87"/>
        <rFont val="Meiryo"/>
        <family val="0"/>
        <charset val="1"/>
      </rPr>
      <t xml:space="preserve">2</t>
    </r>
    <r>
      <rPr>
        <sz val="10"/>
        <color rgb="FF6C7A87"/>
        <rFont val="WenQuanYi Zen Hei"/>
        <family val="2"/>
      </rPr>
      <t xml:space="preserve">時間</t>
    </r>
  </si>
  <si>
    <t xml:space="preserve">　　自動判定は補助であり、聖建様へお伝えする前に必ず担当者が内容を確認します。</t>
  </si>
  <si>
    <r>
      <rPr>
        <sz val="10"/>
        <color rgb="FF6C7A87"/>
        <rFont val="WenQuanYi Zen Hei"/>
        <family val="2"/>
      </rPr>
      <t xml:space="preserve">・月次報告書の作成　　　　　　　　　　　　月</t>
    </r>
    <r>
      <rPr>
        <sz val="10"/>
        <color rgb="FF6C7A87"/>
        <rFont val="Meiryo"/>
        <family val="0"/>
        <charset val="1"/>
      </rPr>
      <t xml:space="preserve">30</t>
    </r>
    <r>
      <rPr>
        <sz val="10"/>
        <color rgb="FF6C7A87"/>
        <rFont val="WenQuanYi Zen Hei"/>
        <family val="2"/>
      </rPr>
      <t xml:space="preserve">分程度</t>
    </r>
  </si>
  <si>
    <r>
      <rPr>
        <sz val="10"/>
        <color rgb="FF1E6B4A"/>
        <rFont val="WenQuanYi Zen Hei"/>
        <family val="2"/>
      </rPr>
      <t xml:space="preserve">つまり月額</t>
    </r>
    <r>
      <rPr>
        <sz val="10"/>
        <color rgb="FF1E6B4A"/>
        <rFont val="Meiryo"/>
        <family val="0"/>
        <charset val="1"/>
      </rPr>
      <t xml:space="preserve">20,000</t>
    </r>
    <r>
      <rPr>
        <sz val="10"/>
        <color rgb="FF1E6B4A"/>
        <rFont val="WenQuanYi Zen Hei"/>
        <family val="2"/>
      </rPr>
      <t xml:space="preserve">円の実体は、</t>
    </r>
    <r>
      <rPr>
        <sz val="10"/>
        <color rgb="FF1E6B4A"/>
        <rFont val="Meiryo"/>
        <family val="0"/>
        <charset val="1"/>
      </rPr>
      <t xml:space="preserve">AI</t>
    </r>
    <r>
      <rPr>
        <sz val="10"/>
        <color rgb="FF1E6B4A"/>
        <rFont val="WenQuanYi Zen Hei"/>
        <family val="2"/>
      </rPr>
      <t xml:space="preserve">やサーバーの費用ではなく人的サービスの対価です。</t>
    </r>
  </si>
  <si>
    <r>
      <rPr>
        <sz val="10"/>
        <color rgb="FF1E6B4A"/>
        <rFont val="Meiryo"/>
        <family val="0"/>
        <charset val="1"/>
      </rPr>
      <t xml:space="preserve">AI</t>
    </r>
    <r>
      <rPr>
        <sz val="10"/>
        <color rgb="FF1E6B4A"/>
        <rFont val="WenQuanYi Zen Hei"/>
        <family val="2"/>
      </rPr>
      <t xml:space="preserve">は判定の補助に使うだけなので、ご心配いただいたような利用料の増加は生じません。</t>
    </r>
  </si>
  <si>
    <r>
      <rPr>
        <b val="true"/>
        <sz val="15"/>
        <color rgb="FF1B3A57"/>
        <rFont val="Meiryo"/>
        <family val="0"/>
        <charset val="1"/>
      </rPr>
      <t xml:space="preserve">AWS</t>
    </r>
    <r>
      <rPr>
        <b val="true"/>
        <sz val="15"/>
        <color rgb="FF1B3A57"/>
        <rFont val="WenQuanYi Zen Hei"/>
        <family val="2"/>
      </rPr>
      <t xml:space="preserve">利用料をお客様のご負担とする理由</t>
    </r>
  </si>
  <si>
    <t xml:space="preserve">弊社の月額に含める場合</t>
  </si>
  <si>
    <t xml:space="preserve">お客様のご負担とする場合（採用）</t>
  </si>
  <si>
    <t xml:space="preserve">受講者が増えたとき</t>
  </si>
  <si>
    <t xml:space="preserve">転送量・顔照合・ストレージが増え、定額では赤字になります。事業が成功するほど弊社が損をします。</t>
  </si>
  <si>
    <t xml:space="preserve">実費が受講者数に応じて増えるだけです。受講料で回収できます。</t>
  </si>
  <si>
    <t xml:space="preserve">原価の見え方</t>
  </si>
  <si>
    <t xml:space="preserve">何にいくらかかっているか分かりません。</t>
  </si>
  <si>
    <t xml:space="preserve">実費が明細で見えます。受講料の設定根拠になります。</t>
  </si>
  <si>
    <t xml:space="preserve">為替が動いたとき</t>
  </si>
  <si>
    <t xml:space="preserve">ドル建て費用の上昇を弊社が吸収することになります。</t>
  </si>
  <si>
    <t xml:space="preserve">実費として自動的に反映されます。</t>
  </si>
  <si>
    <t xml:space="preserve">お取引が終わるとき</t>
  </si>
  <si>
    <t xml:space="preserve">契約主体が弊社のため、引き継ぎが煩雑になります。</t>
  </si>
  <si>
    <t xml:space="preserve">聖建様名義であれば、そのまま継続できます。</t>
  </si>
  <si>
    <t xml:space="preserve">値上げ交渉</t>
  </si>
  <si>
    <t xml:space="preserve">毎年お願いすることになります。</t>
  </si>
  <si>
    <t xml:space="preserve">不要です。</t>
  </si>
  <si>
    <t xml:space="preserve">■ 契約の形</t>
  </si>
  <si>
    <r>
      <rPr>
        <sz val="10"/>
        <color rgb="FF1A2430"/>
        <rFont val="WenQuanYi Zen Hei"/>
        <family val="2"/>
      </rPr>
      <t xml:space="preserve">① 弊社への月額 </t>
    </r>
    <r>
      <rPr>
        <sz val="10"/>
        <color rgb="FF1A2430"/>
        <rFont val="Meiryo"/>
        <family val="0"/>
        <charset val="1"/>
      </rPr>
      <t xml:space="preserve">100,000</t>
    </r>
    <r>
      <rPr>
        <sz val="10"/>
        <color rgb="FF1A2430"/>
        <rFont val="WenQuanYi Zen Hei"/>
        <family val="2"/>
      </rPr>
      <t xml:space="preserve">円（税抜）</t>
    </r>
  </si>
  <si>
    <r>
      <rPr>
        <sz val="10"/>
        <color rgb="FF6C7A87"/>
        <rFont val="WenQuanYi Zen Hei"/>
        <family val="2"/>
      </rPr>
      <t xml:space="preserve">　　保守・運用サービス </t>
    </r>
    <r>
      <rPr>
        <sz val="10"/>
        <color rgb="FF6C7A87"/>
        <rFont val="Meiryo"/>
        <family val="0"/>
        <charset val="1"/>
      </rPr>
      <t xml:space="preserve">80,000</t>
    </r>
    <r>
      <rPr>
        <sz val="10"/>
        <color rgb="FF6C7A87"/>
        <rFont val="WenQuanYi Zen Hei"/>
        <family val="2"/>
      </rPr>
      <t xml:space="preserve">円 ＋ 法令改正監視・通知サービス </t>
    </r>
    <r>
      <rPr>
        <sz val="10"/>
        <color rgb="FF6C7A87"/>
        <rFont val="Meiryo"/>
        <family val="0"/>
        <charset val="1"/>
      </rPr>
      <t xml:space="preserve">20,000</t>
    </r>
    <r>
      <rPr>
        <sz val="10"/>
        <color rgb="FF6C7A87"/>
        <rFont val="WenQuanYi Zen Hei"/>
        <family val="2"/>
      </rPr>
      <t xml:space="preserve">円。</t>
    </r>
  </si>
  <si>
    <t xml:space="preserve">　　人的サービスの対価であり、受講者数に左右されません。</t>
  </si>
  <si>
    <r>
      <rPr>
        <sz val="10"/>
        <color rgb="FF1A2430"/>
        <rFont val="Meiryo"/>
        <family val="0"/>
        <charset val="1"/>
      </rPr>
      <t xml:space="preserve">② AWS </t>
    </r>
    <r>
      <rPr>
        <sz val="10"/>
        <color rgb="FF1A2430"/>
        <rFont val="WenQuanYi Zen Hei"/>
        <family val="2"/>
      </rPr>
      <t xml:space="preserve">利用料 ＝ 聖建様名義で直接ご契約（推奨）</t>
    </r>
  </si>
  <si>
    <t xml:space="preserve">　　弊社は運用代行のみを行います。立替えが発生せず、費用が透明になります。</t>
  </si>
  <si>
    <r>
      <rPr>
        <sz val="10"/>
        <color rgb="FF6C7A87"/>
        <rFont val="WenQuanYi Zen Hei"/>
        <family val="2"/>
      </rPr>
      <t xml:space="preserve">　　アカウント管理が難しい場合は、弊社が代行契約し、実費＋事務手数料</t>
    </r>
    <r>
      <rPr>
        <sz val="10"/>
        <color rgb="FF6C7A87"/>
        <rFont val="Meiryo"/>
        <family val="0"/>
        <charset val="1"/>
      </rPr>
      <t xml:space="preserve">10%</t>
    </r>
    <r>
      <rPr>
        <sz val="10"/>
        <color rgb="FF6C7A87"/>
        <rFont val="WenQuanYi Zen Hei"/>
        <family val="2"/>
      </rPr>
      <t xml:space="preserve">でご請求する形も可能です。</t>
    </r>
  </si>
  <si>
    <t xml:space="preserve">■ ご提示のしかた</t>
  </si>
  <si>
    <r>
      <rPr>
        <sz val="10"/>
        <color rgb="FF1A2430"/>
        <rFont val="WenQuanYi Zen Hei"/>
        <family val="2"/>
      </rPr>
      <t xml:space="preserve">「月額</t>
    </r>
    <r>
      <rPr>
        <sz val="10"/>
        <color rgb="FF1A2430"/>
        <rFont val="Meiryo"/>
        <family val="0"/>
        <charset val="1"/>
      </rPr>
      <t xml:space="preserve">10</t>
    </r>
    <r>
      <rPr>
        <sz val="10"/>
        <color rgb="FF1A2430"/>
        <rFont val="WenQuanYi Zen Hei"/>
        <family val="2"/>
      </rPr>
      <t xml:space="preserve">万円は保守・運用と法令監視の費用です。サーバーの実費は受講者数で変わるため、</t>
    </r>
  </si>
  <si>
    <r>
      <rPr>
        <sz val="10"/>
        <color rgb="FF1A2430"/>
        <rFont val="WenQuanYi Zen Hei"/>
        <family val="2"/>
      </rPr>
      <t xml:space="preserve">　聖建様のお名前で直接ご契約いただきたく存じます。いまの規模で月</t>
    </r>
    <r>
      <rPr>
        <sz val="10"/>
        <color rgb="FF1A2430"/>
        <rFont val="Meiryo"/>
        <family val="0"/>
        <charset val="1"/>
      </rPr>
      <t xml:space="preserve">3</t>
    </r>
    <r>
      <rPr>
        <sz val="10"/>
        <color rgb="FF1A2430"/>
        <rFont val="WenQuanYi Zen Hei"/>
        <family val="2"/>
      </rPr>
      <t xml:space="preserve">万</t>
    </r>
    <r>
      <rPr>
        <sz val="10"/>
        <color rgb="FF1A2430"/>
        <rFont val="Meiryo"/>
        <family val="0"/>
        <charset val="1"/>
      </rPr>
      <t xml:space="preserve">6</t>
    </r>
    <r>
      <rPr>
        <sz val="10"/>
        <color rgb="FF1A2430"/>
        <rFont val="WenQuanYi Zen Hei"/>
        <family val="2"/>
      </rPr>
      <t xml:space="preserve">千円程度、</t>
    </r>
  </si>
  <si>
    <r>
      <rPr>
        <sz val="10"/>
        <color rgb="FF1A2430"/>
        <rFont val="WenQuanYi Zen Hei"/>
        <family val="2"/>
      </rPr>
      <t xml:space="preserve">　受講者が月</t>
    </r>
    <r>
      <rPr>
        <sz val="10"/>
        <color rgb="FF1A2430"/>
        <rFont val="Meiryo"/>
        <family val="0"/>
        <charset val="1"/>
      </rPr>
      <t xml:space="preserve">300</t>
    </r>
    <r>
      <rPr>
        <sz val="10"/>
        <color rgb="FF1A2430"/>
        <rFont val="WenQuanYi Zen Hei"/>
        <family val="2"/>
      </rPr>
      <t xml:space="preserve">名になっても月</t>
    </r>
    <r>
      <rPr>
        <sz val="10"/>
        <color rgb="FF1A2430"/>
        <rFont val="Meiryo"/>
        <family val="0"/>
        <charset val="1"/>
      </rPr>
      <t xml:space="preserve">3</t>
    </r>
    <r>
      <rPr>
        <sz val="10"/>
        <color rgb="FF1A2430"/>
        <rFont val="WenQuanYi Zen Hei"/>
        <family val="2"/>
      </rPr>
      <t xml:space="preserve">万</t>
    </r>
    <r>
      <rPr>
        <sz val="10"/>
        <color rgb="FF1A2430"/>
        <rFont val="Meiryo"/>
        <family val="0"/>
        <charset val="1"/>
      </rPr>
      <t xml:space="preserve">9</t>
    </r>
    <r>
      <rPr>
        <sz val="10"/>
        <color rgb="FF1A2430"/>
        <rFont val="WenQuanYi Zen Hei"/>
        <family val="2"/>
      </rPr>
      <t xml:space="preserve">千円ほどの見込みです。</t>
    </r>
  </si>
  <si>
    <t xml:space="preserve">　定額に含めてしまうと、御社の受講者が増えたときに私どもが値上げをお願いすることになり、</t>
  </si>
  <si>
    <t xml:space="preserve">　かえってご迷惑をおかけします。」</t>
  </si>
  <si>
    <t xml:space="preserve">この説明なら、値切りではなく合理性の話として受け取っていただけます。</t>
  </si>
</sst>
</file>

<file path=xl/styles.xml><?xml version="1.0" encoding="utf-8"?>
<styleSheet xmlns="http://schemas.openxmlformats.org/spreadsheetml/2006/main">
  <numFmts count="10">
    <numFmt numFmtId="164" formatCode="General"/>
    <numFmt numFmtId="165" formatCode="#,##0\名"/>
    <numFmt numFmtId="166" formatCode="\¥#,##0;&quot;(¥&quot;#,##0\);\-"/>
    <numFmt numFmtId="167" formatCode="\¥#,##0&quot;／USD&quot;"/>
    <numFmt numFmtId="168" formatCode="0.0&quot; GB&quot;"/>
    <numFmt numFmtId="169" formatCode="0&quot; 回&quot;"/>
    <numFmt numFmtId="170" formatCode="0.0%"/>
    <numFmt numFmtId="171" formatCode="#,##0&quot; GB／月&quot;"/>
    <numFmt numFmtId="172" formatCode="\¥#,##0.0"/>
    <numFmt numFmtId="173" formatCode="\¥#,##0.00"/>
  </numFmts>
  <fonts count="56">
    <font>
      <sz val="11"/>
      <color theme="1"/>
      <name val="Calibri"/>
      <family val="2"/>
      <charset val="1"/>
    </font>
    <font>
      <sz val="10"/>
      <name val="Arial"/>
      <family val="0"/>
    </font>
    <font>
      <sz val="10"/>
      <name val="Arial"/>
      <family val="0"/>
    </font>
    <font>
      <sz val="10"/>
      <name val="Arial"/>
      <family val="0"/>
    </font>
    <font>
      <b val="true"/>
      <sz val="15"/>
      <color rgb="FF1B3A57"/>
      <name val="WenQuanYi Zen Hei"/>
      <family val="2"/>
    </font>
    <font>
      <sz val="9"/>
      <color rgb="FF6C7A87"/>
      <name val="WenQuanYi Zen Hei"/>
      <family val="2"/>
    </font>
    <font>
      <b val="true"/>
      <sz val="9.5"/>
      <color rgb="FFFFFFFF"/>
      <name val="WenQuanYi Zen Hei"/>
      <family val="2"/>
    </font>
    <font>
      <b val="true"/>
      <sz val="9.5"/>
      <color rgb="FFFFFFFF"/>
      <name val="Meiryo"/>
      <family val="0"/>
      <charset val="1"/>
    </font>
    <font>
      <b val="true"/>
      <sz val="10"/>
      <color rgb="FF1A2430"/>
      <name val="WenQuanYi Zen Hei"/>
      <family val="2"/>
    </font>
    <font>
      <b val="true"/>
      <sz val="10"/>
      <color rgb="FF0000FF"/>
      <name val="Meiryo"/>
      <family val="0"/>
      <charset val="1"/>
    </font>
    <font>
      <sz val="9"/>
      <color rgb="FF6C7A87"/>
      <name val="Meiryo"/>
      <family val="0"/>
      <charset val="1"/>
    </font>
    <font>
      <b val="true"/>
      <sz val="10"/>
      <color rgb="FF1B3A57"/>
      <name val="Meiryo"/>
      <family val="0"/>
      <charset val="1"/>
    </font>
    <font>
      <b val="true"/>
      <sz val="10"/>
      <color rgb="FF1B3A57"/>
      <name val="WenQuanYi Zen Hei"/>
      <family val="2"/>
    </font>
    <font>
      <sz val="10"/>
      <color rgb="FF1A2430"/>
      <name val="Meiryo"/>
      <family val="0"/>
      <charset val="1"/>
    </font>
    <font>
      <b val="true"/>
      <sz val="10"/>
      <color rgb="FF1A2430"/>
      <name val="Meiryo"/>
      <family val="0"/>
      <charset val="1"/>
    </font>
    <font>
      <b val="true"/>
      <sz val="10"/>
      <color rgb="FFB05A1E"/>
      <name val="Meiryo"/>
      <family val="0"/>
      <charset val="1"/>
    </font>
    <font>
      <b val="true"/>
      <sz val="10"/>
      <color rgb="FFB05A1E"/>
      <name val="WenQuanYi Zen Hei"/>
      <family val="2"/>
    </font>
    <font>
      <sz val="10"/>
      <color rgb="FFB05A1E"/>
      <name val="Meiryo"/>
      <family val="0"/>
      <charset val="1"/>
    </font>
    <font>
      <sz val="10"/>
      <color rgb="FF1A2430"/>
      <name val="WenQuanYi Zen Hei"/>
      <family val="2"/>
    </font>
    <font>
      <sz val="10"/>
      <color rgb="FF6C7A87"/>
      <name val="Meiryo"/>
      <family val="0"/>
      <charset val="1"/>
    </font>
    <font>
      <b val="true"/>
      <sz val="11"/>
      <color rgb="FF1B3A57"/>
      <name val="WenQuanYi Zen Hei"/>
      <family val="2"/>
    </font>
    <font>
      <b val="true"/>
      <sz val="11"/>
      <color rgb="FF1A2430"/>
      <name val="Meiryo"/>
      <family val="0"/>
      <charset val="1"/>
    </font>
    <font>
      <b val="true"/>
      <sz val="12"/>
      <color rgb="FF1B3A57"/>
      <name val="WenQuanYi Zen Hei"/>
      <family val="2"/>
    </font>
    <font>
      <b val="true"/>
      <sz val="12"/>
      <color rgb="FF1A2430"/>
      <name val="Meiryo"/>
      <family val="0"/>
      <charset val="1"/>
    </font>
    <font>
      <sz val="10"/>
      <color rgb="FF9E2F27"/>
      <name val="Meiryo"/>
      <family val="0"/>
      <charset val="1"/>
    </font>
    <font>
      <b val="true"/>
      <sz val="10"/>
      <color rgb="FF1E6B4A"/>
      <name val="Meiryo"/>
      <family val="0"/>
      <charset val="1"/>
    </font>
    <font>
      <b val="true"/>
      <sz val="9.5"/>
      <color rgb="FF1B3A57"/>
      <name val="WenQuanYi Zen Hei"/>
      <family val="2"/>
    </font>
    <font>
      <sz val="9.5"/>
      <color rgb="FF6C7A87"/>
      <name val="WenQuanYi Zen Hei"/>
      <family val="2"/>
    </font>
    <font>
      <sz val="9.5"/>
      <color rgb="FF6C7A87"/>
      <name val="Meiryo"/>
      <family val="0"/>
      <charset val="1"/>
    </font>
    <font>
      <b val="true"/>
      <sz val="10"/>
      <color rgb="FF6C7A87"/>
      <name val="Meiryo"/>
      <family val="0"/>
      <charset val="1"/>
    </font>
    <font>
      <b val="true"/>
      <sz val="9"/>
      <color rgb="FF1A2430"/>
      <name val="WenQuanYi Zen Hei"/>
      <family val="2"/>
    </font>
    <font>
      <sz val="8.5"/>
      <color rgb="FF9E2F27"/>
      <name val="WenQuanYi Zen Hei"/>
      <family val="2"/>
    </font>
    <font>
      <sz val="8.5"/>
      <color rgb="FF9E2F27"/>
      <name val="Meiryo"/>
      <family val="0"/>
      <charset val="1"/>
    </font>
    <font>
      <sz val="8.5"/>
      <color rgb="FF1E6B4A"/>
      <name val="Meiryo"/>
      <family val="0"/>
      <charset val="1"/>
    </font>
    <font>
      <sz val="8.5"/>
      <color rgb="FF1E6B4A"/>
      <name val="WenQuanYi Zen Hei"/>
      <family val="2"/>
    </font>
    <font>
      <sz val="9"/>
      <color rgb="FF1A2430"/>
      <name val="Meiryo"/>
      <family val="0"/>
      <charset val="1"/>
    </font>
    <font>
      <b val="true"/>
      <sz val="11"/>
      <color rgb="FF0000FF"/>
      <name val="Meiryo"/>
      <family val="0"/>
      <charset val="1"/>
    </font>
    <font>
      <sz val="10"/>
      <name val="WenQuanYi Zen Hei"/>
      <family val="2"/>
    </font>
    <font>
      <sz val="10"/>
      <name val="Arial"/>
      <family val="2"/>
    </font>
    <font>
      <sz val="9.5"/>
      <color rgb="FF1A2430"/>
      <name val="Meiryo"/>
      <family val="0"/>
      <charset val="1"/>
    </font>
    <font>
      <sz val="9.5"/>
      <color rgb="FF1A2430"/>
      <name val="WenQuanYi Zen Hei"/>
      <family val="2"/>
    </font>
    <font>
      <sz val="9.5"/>
      <color rgb="FF9E2F27"/>
      <name val="WenQuanYi Zen Hei"/>
      <family val="2"/>
    </font>
    <font>
      <sz val="9.5"/>
      <color rgb="FF9E2F27"/>
      <name val="Meiryo"/>
      <family val="0"/>
      <charset val="1"/>
    </font>
    <font>
      <sz val="9.5"/>
      <color rgb="FF1E6B4A"/>
      <name val="Meiryo"/>
      <family val="0"/>
      <charset val="1"/>
    </font>
    <font>
      <sz val="9.5"/>
      <color rgb="FF1E6B4A"/>
      <name val="WenQuanYi Zen Hei"/>
      <family val="2"/>
    </font>
    <font>
      <b val="true"/>
      <sz val="9.5"/>
      <color rgb="FF9E2F27"/>
      <name val="WenQuanYi Zen Hei"/>
      <family val="2"/>
    </font>
    <font>
      <b val="true"/>
      <sz val="9.5"/>
      <color rgb="FF1A2430"/>
      <name val="WenQuanYi Zen Hei"/>
      <family val="2"/>
    </font>
    <font>
      <b val="true"/>
      <sz val="9.5"/>
      <color rgb="FF1E6B4A"/>
      <name val="WenQuanYi Zen Hei"/>
      <family val="2"/>
    </font>
    <font>
      <b val="true"/>
      <sz val="10"/>
      <color rgb="FF9E2F27"/>
      <name val="WenQuanYi Zen Hei"/>
      <family val="2"/>
    </font>
    <font>
      <sz val="10"/>
      <color rgb="FF6C7A87"/>
      <name val="WenQuanYi Zen Hei"/>
      <family val="2"/>
    </font>
    <font>
      <b val="true"/>
      <sz val="10"/>
      <color rgb="FF1E6B4A"/>
      <name val="WenQuanYi Zen Hei"/>
      <family val="2"/>
    </font>
    <font>
      <b val="true"/>
      <sz val="11.5"/>
      <color rgb="FF1B3A57"/>
      <name val="WenQuanYi Zen Hei"/>
      <family val="2"/>
    </font>
    <font>
      <sz val="10"/>
      <color rgb="FF9E2F27"/>
      <name val="WenQuanYi Zen Hei"/>
      <family val="2"/>
    </font>
    <font>
      <sz val="10"/>
      <color rgb="FF1E6B4A"/>
      <name val="WenQuanYi Zen Hei"/>
      <family val="2"/>
    </font>
    <font>
      <sz val="10"/>
      <color rgb="FF1E6B4A"/>
      <name val="Meiryo"/>
      <family val="0"/>
      <charset val="1"/>
    </font>
    <font>
      <b val="true"/>
      <sz val="15"/>
      <color rgb="FF1B3A57"/>
      <name val="Meiryo"/>
      <family val="0"/>
      <charset val="1"/>
    </font>
  </fonts>
  <fills count="8">
    <fill>
      <patternFill patternType="none"/>
    </fill>
    <fill>
      <patternFill patternType="gray125"/>
    </fill>
    <fill>
      <patternFill patternType="solid">
        <fgColor rgb="FF1B3A57"/>
        <bgColor rgb="FF1A2430"/>
      </patternFill>
    </fill>
    <fill>
      <patternFill patternType="solid">
        <fgColor rgb="FFDCE6EE"/>
        <bgColor rgb="FFDFF0E6"/>
      </patternFill>
    </fill>
    <fill>
      <patternFill patternType="solid">
        <fgColor rgb="FFFFF6D9"/>
        <bgColor rgb="FFF2F5F7"/>
      </patternFill>
    </fill>
    <fill>
      <patternFill patternType="solid">
        <fgColor rgb="FFF2F5F7"/>
        <bgColor rgb="FFFFFFFF"/>
      </patternFill>
    </fill>
    <fill>
      <patternFill patternType="solid">
        <fgColor rgb="FFFBE3E1"/>
        <bgColor rgb="FFFFF6D9"/>
      </patternFill>
    </fill>
    <fill>
      <patternFill patternType="solid">
        <fgColor rgb="FFDFF0E6"/>
        <bgColor rgb="FFDCE6EE"/>
      </patternFill>
    </fill>
  </fills>
  <borders count="2">
    <border diagonalUp="false" diagonalDown="false">
      <left/>
      <right/>
      <top/>
      <bottom/>
      <diagonal/>
    </border>
    <border diagonalUp="false" diagonalDown="false">
      <left style="thin">
        <color rgb="FFC9D4DC"/>
      </left>
      <right style="thin">
        <color rgb="FFC9D4DC"/>
      </right>
      <top style="thin">
        <color rgb="FFC9D4DC"/>
      </top>
      <bottom style="thin">
        <color rgb="FFC9D4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left" vertical="center" textRotation="0" wrapText="false" indent="0" shrinkToFit="false"/>
      <protection locked="true" hidden="false"/>
    </xf>
    <xf numFmtId="165" fontId="9" fillId="4" borderId="1" xfId="0" applyFont="true" applyBorder="true" applyAlignment="true" applyProtection="false">
      <alignment horizontal="center" vertical="center" textRotation="0" wrapText="false" indent="0" shrinkToFit="false"/>
      <protection locked="true" hidden="false"/>
    </xf>
    <xf numFmtId="164" fontId="5" fillId="3" borderId="1" xfId="0" applyFont="true" applyBorder="true" applyAlignment="true" applyProtection="false">
      <alignment horizontal="left" vertical="center" textRotation="0" wrapText="false" indent="0" shrinkToFit="false"/>
      <protection locked="true" hidden="false"/>
    </xf>
    <xf numFmtId="164" fontId="11" fillId="3" borderId="1" xfId="0" applyFont="true" applyBorder="true" applyAlignment="true" applyProtection="false">
      <alignment horizontal="left" vertical="center" textRotation="0" wrapText="false" indent="0" shrinkToFit="false"/>
      <protection locked="true" hidden="false"/>
    </xf>
    <xf numFmtId="164" fontId="13" fillId="3" borderId="1" xfId="0" applyFont="true" applyBorder="true" applyAlignment="true" applyProtection="false">
      <alignment horizontal="left"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false" indent="0" shrinkToFit="false"/>
      <protection locked="true" hidden="false"/>
    </xf>
    <xf numFmtId="166" fontId="13" fillId="0" borderId="1" xfId="0" applyFont="true" applyBorder="true" applyAlignment="true" applyProtection="false">
      <alignment horizontal="right"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true" indent="0" shrinkToFit="false"/>
      <protection locked="true" hidden="false"/>
    </xf>
    <xf numFmtId="164" fontId="8" fillId="5" borderId="1" xfId="0" applyFont="true" applyBorder="true" applyAlignment="true" applyProtection="false">
      <alignment horizontal="left" vertical="center" textRotation="0" wrapText="false" indent="0" shrinkToFit="false"/>
      <protection locked="true" hidden="false"/>
    </xf>
    <xf numFmtId="166" fontId="14" fillId="5" borderId="1" xfId="0" applyFont="true" applyBorder="true" applyAlignment="true" applyProtection="false">
      <alignment horizontal="right" vertical="center" textRotation="0" wrapText="fals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64" fontId="15" fillId="3" borderId="1" xfId="0" applyFont="true" applyBorder="true" applyAlignment="true" applyProtection="false">
      <alignment horizontal="left" vertical="center" textRotation="0" wrapText="false" indent="0" shrinkToFit="false"/>
      <protection locked="true" hidden="false"/>
    </xf>
    <xf numFmtId="164" fontId="14" fillId="0" borderId="1" xfId="0" applyFont="true" applyBorder="true" applyAlignment="true" applyProtection="false">
      <alignment horizontal="left" vertical="center" textRotation="0" wrapText="false" indent="0" shrinkToFit="false"/>
      <protection locked="true" hidden="false"/>
    </xf>
    <xf numFmtId="166" fontId="17" fillId="0" borderId="1" xfId="0" applyFont="true" applyBorder="true" applyAlignment="true" applyProtection="false">
      <alignment horizontal="right" vertical="center" textRotation="0" wrapText="false" indent="0" shrinkToFit="false"/>
      <protection locked="true" hidden="false"/>
    </xf>
    <xf numFmtId="164" fontId="18" fillId="0" borderId="1" xfId="0" applyFont="true" applyBorder="true" applyAlignment="true" applyProtection="false">
      <alignment horizontal="left" vertical="center" textRotation="0" wrapText="false" indent="0" shrinkToFit="false"/>
      <protection locked="true" hidden="false"/>
    </xf>
    <xf numFmtId="164" fontId="15" fillId="5" borderId="1" xfId="0" applyFont="true" applyBorder="true" applyAlignment="true" applyProtection="false">
      <alignment horizontal="left" vertical="center" textRotation="0" wrapText="false" indent="0" shrinkToFit="false"/>
      <protection locked="true" hidden="false"/>
    </xf>
    <xf numFmtId="166" fontId="15" fillId="5" borderId="1" xfId="0" applyFont="true" applyBorder="true" applyAlignment="true" applyProtection="false">
      <alignment horizontal="right" vertical="center" textRotation="0" wrapText="false" indent="0" shrinkToFit="false"/>
      <protection locked="true" hidden="false"/>
    </xf>
    <xf numFmtId="166" fontId="19" fillId="0" borderId="1" xfId="0" applyFont="true" applyBorder="true" applyAlignment="true" applyProtection="false">
      <alignment horizontal="righ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20" fillId="3" borderId="1" xfId="0" applyFont="true" applyBorder="true" applyAlignment="true" applyProtection="false">
      <alignment horizontal="left" vertical="center" textRotation="0" wrapText="false" indent="0" shrinkToFit="false"/>
      <protection locked="true" hidden="false"/>
    </xf>
    <xf numFmtId="166" fontId="21" fillId="3" borderId="1" xfId="0" applyFont="true" applyBorder="true" applyAlignment="true" applyProtection="false">
      <alignment horizontal="right" vertical="center" textRotation="0" wrapText="false" indent="0" shrinkToFit="false"/>
      <protection locked="true" hidden="false"/>
    </xf>
    <xf numFmtId="164" fontId="22" fillId="3" borderId="1" xfId="0" applyFont="true" applyBorder="true" applyAlignment="true" applyProtection="false">
      <alignment horizontal="left" vertical="center" textRotation="0" wrapText="false" indent="0" shrinkToFit="false"/>
      <protection locked="true" hidden="false"/>
    </xf>
    <xf numFmtId="166" fontId="23" fillId="3" borderId="1" xfId="0" applyFont="true" applyBorder="true" applyAlignment="true" applyProtection="false">
      <alignment horizontal="right" vertical="center" textRotation="0" wrapText="false" indent="0" shrinkToFit="false"/>
      <protection locked="true" hidden="false"/>
    </xf>
    <xf numFmtId="164" fontId="10" fillId="3" borderId="1" xfId="0" applyFont="true" applyBorder="true" applyAlignment="true" applyProtection="false">
      <alignment horizontal="left" vertical="center" textRotation="0" wrapText="false" indent="0" shrinkToFit="false"/>
      <protection locked="true" hidden="false"/>
    </xf>
    <xf numFmtId="166" fontId="15" fillId="0" borderId="1" xfId="0" applyFont="true" applyBorder="true" applyAlignment="true" applyProtection="false">
      <alignment horizontal="right" vertical="center" textRotation="0" wrapText="false" indent="0" shrinkToFit="false"/>
      <protection locked="true" hidden="false"/>
    </xf>
    <xf numFmtId="164" fontId="12" fillId="3" borderId="1" xfId="0" applyFont="true" applyBorder="true" applyAlignment="true" applyProtection="false">
      <alignment horizontal="left"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right" vertical="center" textRotation="0" wrapText="false" indent="0" shrinkToFit="false"/>
      <protection locked="true" hidden="false"/>
    </xf>
    <xf numFmtId="166" fontId="25" fillId="0" borderId="1" xfId="0" applyFont="true" applyBorder="true" applyAlignment="true" applyProtection="false">
      <alignment horizontal="right" vertical="center" textRotation="0" wrapText="false" indent="0" shrinkToFit="false"/>
      <protection locked="true" hidden="false"/>
    </xf>
    <xf numFmtId="164" fontId="26" fillId="0" borderId="0" xfId="0" applyFont="true" applyBorder="false" applyAlignment="true" applyProtection="false">
      <alignment horizontal="left" vertical="center" textRotation="0" wrapText="false" indent="0" shrinkToFit="false"/>
      <protection locked="true" hidden="false"/>
    </xf>
    <xf numFmtId="164" fontId="27" fillId="0" borderId="0" xfId="0" applyFont="true" applyBorder="false" applyAlignment="true" applyProtection="false">
      <alignment horizontal="left" vertical="center" textRotation="0" wrapText="false" indent="0" shrinkToFit="false"/>
      <protection locked="true" hidden="false"/>
    </xf>
    <xf numFmtId="167" fontId="9" fillId="4" borderId="1" xfId="0" applyFont="true" applyBorder="true" applyAlignment="true" applyProtection="false">
      <alignment horizontal="right" vertical="center" textRotation="0" wrapText="false" indent="0" shrinkToFit="false"/>
      <protection locked="true" hidden="false"/>
    </xf>
    <xf numFmtId="168" fontId="9" fillId="4" borderId="1" xfId="0" applyFont="true" applyBorder="true" applyAlignment="true" applyProtection="false">
      <alignment horizontal="right" vertical="center" textRotation="0" wrapText="false" indent="0" shrinkToFit="false"/>
      <protection locked="true" hidden="false"/>
    </xf>
    <xf numFmtId="169" fontId="9" fillId="4" borderId="1" xfId="0" applyFont="true" applyBorder="true" applyAlignment="true" applyProtection="false">
      <alignment horizontal="right" vertical="center" textRotation="0" wrapText="false" indent="0" shrinkToFit="false"/>
      <protection locked="true" hidden="false"/>
    </xf>
    <xf numFmtId="166" fontId="9" fillId="4" borderId="1" xfId="0" applyFont="true" applyBorder="true" applyAlignment="true" applyProtection="false">
      <alignment horizontal="right" vertical="center" textRotation="0" wrapText="false" indent="0" shrinkToFit="false"/>
      <protection locked="true" hidden="false"/>
    </xf>
    <xf numFmtId="170" fontId="9" fillId="4" borderId="1" xfId="0" applyFont="true" applyBorder="true" applyAlignment="true" applyProtection="false">
      <alignment horizontal="right" vertical="center" textRotation="0" wrapText="false" indent="0" shrinkToFit="false"/>
      <protection locked="true" hidden="false"/>
    </xf>
    <xf numFmtId="171" fontId="9" fillId="4" borderId="1" xfId="0" applyFont="true" applyBorder="true" applyAlignment="true" applyProtection="false">
      <alignment horizontal="right"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66" fontId="29" fillId="5" borderId="1" xfId="0" applyFont="true" applyBorder="true" applyAlignment="true" applyProtection="false">
      <alignment horizontal="right" vertical="center" textRotation="0" wrapText="false" indent="0" shrinkToFit="false"/>
      <protection locked="true" hidden="false"/>
    </xf>
    <xf numFmtId="164" fontId="30" fillId="0" borderId="1" xfId="0" applyFont="true" applyBorder="true" applyAlignment="true" applyProtection="false">
      <alignment horizontal="left" vertical="center" textRotation="0" wrapText="false" indent="0" shrinkToFit="false"/>
      <protection locked="true" hidden="false"/>
    </xf>
    <xf numFmtId="164" fontId="31" fillId="0" borderId="1" xfId="0" applyFont="true" applyBorder="true" applyAlignment="true" applyProtection="false">
      <alignment horizontal="left" vertical="center" textRotation="0" wrapText="true" indent="0" shrinkToFit="false"/>
      <protection locked="true" hidden="false"/>
    </xf>
    <xf numFmtId="164" fontId="33" fillId="0" borderId="1" xfId="0" applyFont="true" applyBorder="true" applyAlignment="true" applyProtection="false">
      <alignment horizontal="left" vertical="center" textRotation="0" wrapText="true" indent="0" shrinkToFit="false"/>
      <protection locked="true" hidden="false"/>
    </xf>
    <xf numFmtId="164" fontId="34" fillId="0" borderId="1" xfId="0" applyFont="true" applyBorder="true" applyAlignment="true" applyProtection="false">
      <alignment horizontal="left" vertical="center" textRotation="0" wrapText="true" indent="0" shrinkToFit="false"/>
      <protection locked="true" hidden="false"/>
    </xf>
    <xf numFmtId="164" fontId="35" fillId="0" borderId="1" xfId="0" applyFont="true" applyBorder="true" applyAlignment="true" applyProtection="false">
      <alignment horizontal="left" vertical="center" textRotation="0" wrapText="false" indent="0" shrinkToFit="false"/>
      <protection locked="true" hidden="false"/>
    </xf>
    <xf numFmtId="164" fontId="16" fillId="3" borderId="1" xfId="0" applyFont="true" applyBorder="true" applyAlignment="true" applyProtection="false">
      <alignment horizontal="left" vertical="center" textRotation="0" wrapText="false" indent="0" shrinkToFit="false"/>
      <protection locked="true" hidden="false"/>
    </xf>
    <xf numFmtId="166" fontId="36" fillId="4" borderId="1" xfId="0" applyFont="true" applyBorder="true" applyAlignment="true" applyProtection="false">
      <alignment horizontal="right" vertical="center" textRotation="0" wrapText="false" indent="0" shrinkToFit="false"/>
      <protection locked="true" hidden="false"/>
    </xf>
    <xf numFmtId="164" fontId="18" fillId="0" borderId="1" xfId="0" applyFont="true" applyBorder="true" applyAlignment="true" applyProtection="false">
      <alignment horizontal="left" vertical="center" textRotation="0" wrapText="true" indent="0" shrinkToFit="false"/>
      <protection locked="true" hidden="false"/>
    </xf>
    <xf numFmtId="172" fontId="25" fillId="0" borderId="1" xfId="0" applyFont="true" applyBorder="true" applyAlignment="true" applyProtection="false">
      <alignment horizontal="right"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73" fontId="25" fillId="0" borderId="1" xfId="0" applyFont="true" applyBorder="true" applyAlignment="true" applyProtection="false">
      <alignment horizontal="right" vertical="center" textRotation="0" wrapText="false" indent="0" shrinkToFit="false"/>
      <protection locked="true" hidden="false"/>
    </xf>
    <xf numFmtId="164" fontId="39" fillId="0" borderId="1" xfId="0" applyFont="true" applyBorder="true" applyAlignment="true" applyProtection="false">
      <alignment horizontal="left" vertical="center" textRotation="0" wrapText="true" indent="0" shrinkToFit="false"/>
      <protection locked="true" hidden="false"/>
    </xf>
    <xf numFmtId="164" fontId="14" fillId="0" borderId="1" xfId="0" applyFont="true" applyBorder="true" applyAlignment="true" applyProtection="false">
      <alignment horizontal="left" vertical="center" textRotation="0" wrapText="true" indent="0" shrinkToFit="false"/>
      <protection locked="true" hidden="false"/>
    </xf>
    <xf numFmtId="164" fontId="41" fillId="6" borderId="1" xfId="0" applyFont="true" applyBorder="true" applyAlignment="true" applyProtection="false">
      <alignment horizontal="left" vertical="center" textRotation="0" wrapText="true" indent="0" shrinkToFit="false"/>
      <protection locked="true" hidden="false"/>
    </xf>
    <xf numFmtId="164" fontId="40" fillId="0" borderId="1" xfId="0" applyFont="true" applyBorder="true" applyAlignment="true" applyProtection="false">
      <alignment horizontal="left" vertical="center" textRotation="0" wrapText="true" indent="0" shrinkToFit="false"/>
      <protection locked="true" hidden="false"/>
    </xf>
    <xf numFmtId="164" fontId="43" fillId="7" borderId="1" xfId="0" applyFont="true" applyBorder="true" applyAlignment="true" applyProtection="false">
      <alignment horizontal="left" vertical="center" textRotation="0" wrapText="true" indent="0" shrinkToFit="false"/>
      <protection locked="true" hidden="false"/>
    </xf>
    <xf numFmtId="164" fontId="44" fillId="7" borderId="1" xfId="0" applyFont="true" applyBorder="true" applyAlignment="true" applyProtection="false">
      <alignment horizontal="left" vertical="center" textRotation="0" wrapText="true" indent="0" shrinkToFit="false"/>
      <protection locked="true" hidden="false"/>
    </xf>
    <xf numFmtId="164" fontId="42" fillId="6" borderId="1" xfId="0" applyFont="true" applyBorder="true" applyAlignment="true" applyProtection="false">
      <alignment horizontal="left" vertical="center" textRotation="0" wrapText="true" indent="0" shrinkToFit="false"/>
      <protection locked="true" hidden="false"/>
    </xf>
    <xf numFmtId="164" fontId="8" fillId="5" borderId="1" xfId="0" applyFont="true" applyBorder="true" applyAlignment="true" applyProtection="false">
      <alignment horizontal="left" vertical="center" textRotation="0" wrapText="true" indent="0" shrinkToFit="false"/>
      <protection locked="true" hidden="false"/>
    </xf>
    <xf numFmtId="164" fontId="45" fillId="6" borderId="1" xfId="0" applyFont="true" applyBorder="true" applyAlignment="true" applyProtection="false">
      <alignment horizontal="left" vertical="center" textRotation="0" wrapText="true" indent="0" shrinkToFit="false"/>
      <protection locked="true" hidden="false"/>
    </xf>
    <xf numFmtId="164" fontId="46" fillId="0" borderId="1" xfId="0" applyFont="true" applyBorder="true" applyAlignment="true" applyProtection="false">
      <alignment horizontal="left" vertical="center" textRotation="0" wrapText="true" indent="0" shrinkToFit="false"/>
      <protection locked="true" hidden="false"/>
    </xf>
    <xf numFmtId="164" fontId="47" fillId="7" borderId="1" xfId="0" applyFont="true" applyBorder="true" applyAlignment="true" applyProtection="false">
      <alignment horizontal="left" vertical="center" textRotation="0" wrapText="tru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48" fillId="0" borderId="0" xfId="0" applyFont="true" applyBorder="false" applyAlignment="true" applyProtection="false">
      <alignment horizontal="left" vertical="center" textRotation="0" wrapText="false" indent="0" shrinkToFit="false"/>
      <protection locked="true" hidden="false"/>
    </xf>
    <xf numFmtId="164" fontId="49"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50" fillId="0" borderId="0" xfId="0" applyFont="true" applyBorder="false" applyAlignment="true" applyProtection="false">
      <alignment horizontal="left" vertical="center" textRotation="0" wrapText="false" indent="0" shrinkToFit="false"/>
      <protection locked="true" hidden="false"/>
    </xf>
    <xf numFmtId="164" fontId="51" fillId="0" borderId="0" xfId="0" applyFont="true" applyBorder="false" applyAlignment="true" applyProtection="false">
      <alignment horizontal="left" vertical="center" textRotation="0" wrapText="false" indent="0" shrinkToFit="false"/>
      <protection locked="true" hidden="false"/>
    </xf>
    <xf numFmtId="164" fontId="50" fillId="7" borderId="1" xfId="0" applyFont="true" applyBorder="true" applyAlignment="true" applyProtection="false">
      <alignment horizontal="center" vertical="center" textRotation="0" wrapText="false" indent="0" shrinkToFit="false"/>
      <protection locked="true" hidden="false"/>
    </xf>
    <xf numFmtId="164" fontId="48" fillId="6"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52" fillId="0" borderId="0" xfId="0" applyFont="true" applyBorder="false" applyAlignment="true" applyProtection="false">
      <alignment horizontal="left" vertical="center" textRotation="0" wrapText="false" indent="0" shrinkToFit="false"/>
      <protection locked="true" hidden="false"/>
    </xf>
    <xf numFmtId="164" fontId="53" fillId="0" borderId="0" xfId="0" applyFont="true" applyBorder="false" applyAlignment="true" applyProtection="false">
      <alignment horizontal="left" vertical="center" textRotation="0" wrapText="false" indent="0" shrinkToFit="false"/>
      <protection locked="true" hidden="false"/>
    </xf>
    <xf numFmtId="164" fontId="54" fillId="0" borderId="0" xfId="0" applyFont="true" applyBorder="false" applyAlignment="true" applyProtection="false">
      <alignment horizontal="left" vertical="center" textRotation="0" wrapText="false" indent="0" shrinkToFit="false"/>
      <protection locked="true" hidden="false"/>
    </xf>
    <xf numFmtId="164" fontId="55"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E6B4A"/>
      <rgbColor rgb="FFC0C0C0"/>
      <rgbColor rgb="FF6C7A87"/>
      <rgbColor rgb="FF9999FF"/>
      <rgbColor rgb="FFB05A1E"/>
      <rgbColor rgb="FFFFF6D9"/>
      <rgbColor rgb="FFDFF0E6"/>
      <rgbColor rgb="FF660066"/>
      <rgbColor rgb="FFFF8080"/>
      <rgbColor rgb="FF0066CC"/>
      <rgbColor rgb="FFC9D4DC"/>
      <rgbColor rgb="FF000080"/>
      <rgbColor rgb="FFFF00FF"/>
      <rgbColor rgb="FFFFFF00"/>
      <rgbColor rgb="FF00FFFF"/>
      <rgbColor rgb="FF800080"/>
      <rgbColor rgb="FF800000"/>
      <rgbColor rgb="FF008080"/>
      <rgbColor rgb="FF0000FF"/>
      <rgbColor rgb="FF00CCFF"/>
      <rgbColor rgb="FFDCE6EE"/>
      <rgbColor rgb="FFF2F5F7"/>
      <rgbColor rgb="FFFFFF99"/>
      <rgbColor rgb="FF99CCFF"/>
      <rgbColor rgb="FFFF99CC"/>
      <rgbColor rgb="FFCC99FF"/>
      <rgbColor rgb="FFFBE3E1"/>
      <rgbColor rgb="FF3366FF"/>
      <rgbColor rgb="FF33CCCC"/>
      <rgbColor rgb="FF99CC00"/>
      <rgbColor rgb="FFFFCC00"/>
      <rgbColor rgb="FFFF9900"/>
      <rgbColor rgb="FFFF6600"/>
      <rgbColor rgb="FF666699"/>
      <rgbColor rgb="FF969696"/>
      <rgbColor rgb="FF1B3A57"/>
      <rgbColor rgb="FF339966"/>
      <rgbColor rgb="FF003300"/>
      <rgbColor rgb="FF333300"/>
      <rgbColor rgb="FF9E2F27"/>
      <rgbColor rgb="FF993366"/>
      <rgbColor rgb="FF333399"/>
      <rgbColor rgb="FF1A24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6"/>
    <col collapsed="false" customWidth="true" hidden="false" outlineLevel="0" max="4" min="2" style="0" width="15"/>
    <col collapsed="false" customWidth="true" hidden="false" outlineLevel="0" max="5" min="5" style="0" width="38"/>
    <col collapsed="false" customWidth="true" hidden="false" outlineLevel="0" max="6" min="6" style="0" width="4"/>
  </cols>
  <sheetData>
    <row r="1" customFormat="false" ht="24" hidden="false" customHeight="true" outlineLevel="0" collapsed="false">
      <c r="A1" s="1" t="s">
        <v>0</v>
      </c>
    </row>
    <row r="2" customFormat="false" ht="15" hidden="false" customHeight="false" outlineLevel="0" collapsed="false">
      <c r="A2" s="2" t="s">
        <v>1</v>
      </c>
    </row>
    <row r="4" customFormat="false" ht="21.75" hidden="false" customHeight="true" outlineLevel="0" collapsed="false">
      <c r="A4" s="3" t="s">
        <v>2</v>
      </c>
      <c r="B4" s="3" t="s">
        <v>3</v>
      </c>
      <c r="C4" s="3" t="s">
        <v>4</v>
      </c>
      <c r="D4" s="3" t="s">
        <v>5</v>
      </c>
      <c r="E4" s="3" t="s">
        <v>6</v>
      </c>
    </row>
    <row r="5" customFormat="false" ht="21.75" hidden="false" customHeight="true" outlineLevel="0" collapsed="false">
      <c r="A5" s="4" t="s">
        <v>7</v>
      </c>
      <c r="B5" s="5" t="n">
        <v>50</v>
      </c>
      <c r="C5" s="5" t="n">
        <v>100</v>
      </c>
      <c r="D5" s="5" t="n">
        <v>300</v>
      </c>
      <c r="E5" s="6" t="s">
        <v>8</v>
      </c>
    </row>
    <row r="7" customFormat="false" ht="15" hidden="false" customHeight="false" outlineLevel="0" collapsed="false">
      <c r="A7" s="7" t="s">
        <v>9</v>
      </c>
      <c r="B7" s="8"/>
      <c r="C7" s="8"/>
      <c r="D7" s="8"/>
      <c r="E7" s="8"/>
    </row>
    <row r="8" customFormat="false" ht="24" hidden="false" customHeight="true" outlineLevel="0" collapsed="false">
      <c r="A8" s="9" t="s">
        <v>10</v>
      </c>
      <c r="B8" s="10" t="n">
        <f aca="false">02_単価と前提!$B$15</f>
        <v>80000</v>
      </c>
      <c r="C8" s="10" t="n">
        <f aca="false">02_単価と前提!$B$15</f>
        <v>80000</v>
      </c>
      <c r="D8" s="10" t="n">
        <f aca="false">02_単価と前提!$B$15</f>
        <v>80000</v>
      </c>
      <c r="E8" s="11" t="s">
        <v>11</v>
      </c>
    </row>
    <row r="9" customFormat="false" ht="24" hidden="false" customHeight="true" outlineLevel="0" collapsed="false">
      <c r="A9" s="9" t="s">
        <v>12</v>
      </c>
      <c r="B9" s="10" t="n">
        <f aca="false">02_単価と前提!$B$16</f>
        <v>20000</v>
      </c>
      <c r="C9" s="10" t="n">
        <f aca="false">02_単価と前提!$B$16</f>
        <v>20000</v>
      </c>
      <c r="D9" s="10" t="n">
        <f aca="false">02_単価と前提!$B$16</f>
        <v>20000</v>
      </c>
      <c r="E9" s="11" t="s">
        <v>13</v>
      </c>
    </row>
    <row r="10" customFormat="false" ht="15" hidden="false" customHeight="false" outlineLevel="0" collapsed="false">
      <c r="A10" s="12" t="s">
        <v>14</v>
      </c>
      <c r="B10" s="13" t="n">
        <f aca="false">SUM(B8:B9)</f>
        <v>100000</v>
      </c>
      <c r="C10" s="13" t="n">
        <f aca="false">SUM(C8:C9)</f>
        <v>100000</v>
      </c>
      <c r="D10" s="13" t="n">
        <f aca="false">SUM(D8:D9)</f>
        <v>100000</v>
      </c>
      <c r="E10" s="14"/>
    </row>
    <row r="12" customFormat="false" ht="15" hidden="false" customHeight="false" outlineLevel="0" collapsed="false">
      <c r="A12" s="15" t="s">
        <v>15</v>
      </c>
      <c r="B12" s="8"/>
      <c r="C12" s="8"/>
      <c r="D12" s="8"/>
      <c r="E12" s="8"/>
    </row>
    <row r="13" customFormat="false" ht="25.5" hidden="false" customHeight="true" outlineLevel="0" collapsed="false">
      <c r="A13" s="16" t="s">
        <v>16</v>
      </c>
      <c r="B13" s="17" t="n">
        <f aca="false">02_単価と前提!$B$33</f>
        <v>22800</v>
      </c>
      <c r="C13" s="17" t="n">
        <f aca="false">02_単価と前提!$B$33</f>
        <v>22800</v>
      </c>
      <c r="D13" s="17" t="n">
        <f aca="false">02_単価と前提!$B$33</f>
        <v>22800</v>
      </c>
      <c r="E13" s="11" t="s">
        <v>17</v>
      </c>
    </row>
    <row r="14" customFormat="false" ht="21.75" hidden="false" customHeight="true" outlineLevel="0" collapsed="false">
      <c r="A14" s="18" t="s">
        <v>18</v>
      </c>
      <c r="B14" s="17" t="n">
        <f aca="false">ROUND(MAX(0,$B$5*02_単価と前提!$B$6-02_単価と前提!$B$11)*02_単価と前提!$B$37,0)</f>
        <v>0</v>
      </c>
      <c r="C14" s="17" t="n">
        <f aca="false">ROUND(MAX(0,$C$5*02_単価と前提!$B$6-02_単価と前提!$B$11)*02_単価と前提!$B$37,0)</f>
        <v>0</v>
      </c>
      <c r="D14" s="17" t="n">
        <f aca="false">ROUND(MAX(0,$D$5*02_単価と前提!$B$6-02_単価と前提!$B$11)*02_単価と前提!$B$37,0)</f>
        <v>445</v>
      </c>
      <c r="E14" s="11" t="s">
        <v>19</v>
      </c>
    </row>
    <row r="15" customFormat="false" ht="21.75" hidden="false" customHeight="true" outlineLevel="0" collapsed="false">
      <c r="A15" s="18" t="s">
        <v>20</v>
      </c>
      <c r="B15" s="17" t="n">
        <f aca="false">ROUND($B$5*0.02*02_単価と前提!$B$38,0)</f>
        <v>4</v>
      </c>
      <c r="C15" s="17" t="n">
        <f aca="false">ROUND($C$5*0.02*02_単価と前提!$B$38,0)</f>
        <v>8</v>
      </c>
      <c r="D15" s="17" t="n">
        <f aca="false">ROUND($D$5*0.02*02_単価と前提!$B$38,0)</f>
        <v>23</v>
      </c>
      <c r="E15" s="11" t="s">
        <v>21</v>
      </c>
    </row>
    <row r="16" customFormat="false" ht="21.75" hidden="false" customHeight="true" outlineLevel="0" collapsed="false">
      <c r="A16" s="18" t="s">
        <v>22</v>
      </c>
      <c r="B16" s="17" t="n">
        <f aca="false">ROUND($B$5*02_単価と前提!$B$7*02_単価と前提!$B$39,0)</f>
        <v>165</v>
      </c>
      <c r="C16" s="17" t="n">
        <f aca="false">ROUND($C$5*02_単価と前提!$B$7*02_単価と前提!$B$39,0)</f>
        <v>330</v>
      </c>
      <c r="D16" s="17" t="n">
        <f aca="false">ROUND($D$5*02_単価と前提!$B$7*02_単価と前提!$B$39,0)</f>
        <v>990</v>
      </c>
      <c r="E16" s="11" t="s">
        <v>23</v>
      </c>
    </row>
    <row r="17" customFormat="false" ht="21.75" hidden="false" customHeight="true" outlineLevel="0" collapsed="false">
      <c r="A17" s="18" t="s">
        <v>24</v>
      </c>
      <c r="B17" s="17" t="n">
        <f aca="false">ROUND($B$5*02_単価と前提!$B$8*02_単価と前提!$B$40,0)</f>
        <v>146</v>
      </c>
      <c r="C17" s="17" t="n">
        <f aca="false">ROUND($C$5*02_単価と前提!$B$8*02_単価と前提!$B$40,0)</f>
        <v>293</v>
      </c>
      <c r="D17" s="17" t="n">
        <f aca="false">ROUND($D$5*02_単価と前提!$B$8*02_単価と前提!$B$40,0)</f>
        <v>878</v>
      </c>
      <c r="E17" s="11" t="s">
        <v>25</v>
      </c>
    </row>
    <row r="18" customFormat="false" ht="21.75" hidden="false" customHeight="true" outlineLevel="0" collapsed="false">
      <c r="A18" s="18" t="s">
        <v>26</v>
      </c>
      <c r="B18" s="17" t="n">
        <f aca="false">ROUND($B$5*5*02_単価と前提!$B$41,0)</f>
        <v>5</v>
      </c>
      <c r="C18" s="17" t="n">
        <f aca="false">ROUND($C$5*5*02_単価と前提!$B$41,0)</f>
        <v>10</v>
      </c>
      <c r="D18" s="17" t="n">
        <f aca="false">ROUND($D$5*5*02_単価と前提!$B$41,0)</f>
        <v>30</v>
      </c>
      <c r="E18" s="11" t="s">
        <v>27</v>
      </c>
    </row>
    <row r="19" customFormat="false" ht="15" hidden="false" customHeight="false" outlineLevel="0" collapsed="false">
      <c r="A19" s="19" t="s">
        <v>28</v>
      </c>
      <c r="B19" s="20" t="n">
        <f aca="false">B13+SUM(B14:B18)</f>
        <v>23120</v>
      </c>
      <c r="C19" s="20" t="n">
        <f aca="false">C13+SUM(C14:C18)</f>
        <v>23441</v>
      </c>
      <c r="D19" s="20" t="n">
        <f aca="false">D13+SUM(D14:D18)</f>
        <v>25166</v>
      </c>
      <c r="E19" s="14"/>
    </row>
    <row r="21" customFormat="false" ht="15" hidden="false" customHeight="false" outlineLevel="0" collapsed="false">
      <c r="A21" s="7" t="s">
        <v>29</v>
      </c>
      <c r="B21" s="8"/>
      <c r="C21" s="8"/>
      <c r="D21" s="8"/>
      <c r="E21" s="8"/>
    </row>
    <row r="22" customFormat="false" ht="15" hidden="false" customHeight="false" outlineLevel="0" collapsed="false">
      <c r="A22" s="18" t="s">
        <v>30</v>
      </c>
      <c r="B22" s="21" t="n">
        <f aca="false">02_単価と前提!$B$44</f>
        <v>5000</v>
      </c>
      <c r="C22" s="21" t="n">
        <f aca="false">02_単価と前提!$B$44</f>
        <v>5000</v>
      </c>
      <c r="D22" s="21" t="n">
        <f aca="false">02_単価と前提!$B$44</f>
        <v>5000</v>
      </c>
      <c r="E22" s="22" t="s">
        <v>31</v>
      </c>
    </row>
    <row r="24" customFormat="false" ht="24" hidden="false" customHeight="true" outlineLevel="0" collapsed="false">
      <c r="A24" s="23" t="s">
        <v>32</v>
      </c>
      <c r="B24" s="24" t="n">
        <f aca="false">B10+B19+B22</f>
        <v>128120</v>
      </c>
      <c r="C24" s="24" t="n">
        <f aca="false">C10+C19+C22</f>
        <v>128441</v>
      </c>
      <c r="D24" s="24" t="n">
        <f aca="false">D10+D19+D22</f>
        <v>130166</v>
      </c>
      <c r="E24" s="6" t="s">
        <v>33</v>
      </c>
    </row>
    <row r="25" customFormat="false" ht="25.5" hidden="false" customHeight="true" outlineLevel="0" collapsed="false">
      <c r="A25" s="25" t="s">
        <v>34</v>
      </c>
      <c r="B25" s="26" t="n">
        <f aca="false">B10+B19</f>
        <v>123120</v>
      </c>
      <c r="C25" s="26" t="n">
        <f aca="false">C10+C19</f>
        <v>123441</v>
      </c>
      <c r="D25" s="26" t="n">
        <f aca="false">D10+D19</f>
        <v>125166</v>
      </c>
      <c r="E25" s="27" t="s">
        <v>35</v>
      </c>
    </row>
    <row r="26" customFormat="false" ht="15" hidden="false" customHeight="false" outlineLevel="0" collapsed="false">
      <c r="A26" s="9" t="s">
        <v>36</v>
      </c>
      <c r="B26" s="28" t="n">
        <f aca="false">ROUND(B25/B5,0)</f>
        <v>2462</v>
      </c>
      <c r="C26" s="28" t="n">
        <f aca="false">ROUND(C25/C5,0)</f>
        <v>1234</v>
      </c>
      <c r="D26" s="28" t="n">
        <f aca="false">ROUND(D25/D5,0)</f>
        <v>417</v>
      </c>
      <c r="E26" s="11" t="s">
        <v>37</v>
      </c>
    </row>
    <row r="28" customFormat="false" ht="15" hidden="false" customHeight="false" outlineLevel="0" collapsed="false">
      <c r="A28" s="29" t="s">
        <v>38</v>
      </c>
      <c r="B28" s="8"/>
      <c r="C28" s="8"/>
      <c r="D28" s="8"/>
      <c r="E28" s="8"/>
    </row>
    <row r="29" customFormat="false" ht="15" hidden="false" customHeight="false" outlineLevel="0" collapsed="false">
      <c r="A29" s="18" t="s">
        <v>39</v>
      </c>
      <c r="B29" s="21" t="n">
        <f aca="false">$B$5*02_単価と前提!$B$9</f>
        <v>500000</v>
      </c>
      <c r="C29" s="21" t="n">
        <f aca="false">$C$5*02_単価と前提!$B$9</f>
        <v>1000000</v>
      </c>
      <c r="D29" s="21" t="n">
        <f aca="false">$D$5*02_単価と前提!$B$9</f>
        <v>3000000</v>
      </c>
      <c r="E29" s="30" t="s">
        <v>40</v>
      </c>
    </row>
    <row r="30" customFormat="false" ht="15" hidden="false" customHeight="false" outlineLevel="0" collapsed="false">
      <c r="A30" s="18" t="s">
        <v>41</v>
      </c>
      <c r="B30" s="31" t="n">
        <f aca="false">ROUND(B29*02_単価と前提!$B$10,0)</f>
        <v>18000</v>
      </c>
      <c r="C30" s="31" t="n">
        <f aca="false">ROUND(C29*02_単価と前提!$B$10,0)</f>
        <v>36000</v>
      </c>
      <c r="D30" s="31" t="n">
        <f aca="false">ROUND(D29*02_単価と前提!$B$10,0)</f>
        <v>108000</v>
      </c>
      <c r="E30" s="11" t="s">
        <v>42</v>
      </c>
    </row>
    <row r="31" customFormat="false" ht="15" hidden="false" customHeight="false" outlineLevel="0" collapsed="false">
      <c r="A31" s="9" t="s">
        <v>43</v>
      </c>
      <c r="B31" s="32" t="n">
        <f aca="false">B29-B25-B30</f>
        <v>358880</v>
      </c>
      <c r="C31" s="32" t="n">
        <f aca="false">C29-C25-C30</f>
        <v>840559</v>
      </c>
      <c r="D31" s="32" t="n">
        <f aca="false">D29-D25-D30</f>
        <v>2766834</v>
      </c>
      <c r="E31" s="11" t="s">
        <v>44</v>
      </c>
    </row>
    <row r="33" customFormat="false" ht="15" hidden="false" customHeight="false" outlineLevel="0" collapsed="false">
      <c r="A33" s="33" t="s">
        <v>45</v>
      </c>
    </row>
    <row r="34" customFormat="false" ht="15" hidden="false" customHeight="false" outlineLevel="0" collapsed="false">
      <c r="A34" s="34" t="s">
        <v>46</v>
      </c>
    </row>
    <row r="35" customFormat="false" ht="15" hidden="false" customHeight="false" outlineLevel="0" collapsed="false">
      <c r="A35" s="34" t="s">
        <v>47</v>
      </c>
    </row>
    <row r="36" customFormat="false" ht="15" hidden="false" customHeight="false" outlineLevel="0" collapsed="false">
      <c r="A36" s="34" t="s">
        <v>48</v>
      </c>
    </row>
    <row r="37" customFormat="false" ht="15" hidden="false" customHeight="false" outlineLevel="0" collapsed="false">
      <c r="A37" s="34" t="s">
        <v>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5"/>
    <col collapsed="false" customWidth="true" hidden="false" outlineLevel="0" max="3" min="3" style="0" width="34"/>
    <col collapsed="false" customWidth="true" hidden="false" outlineLevel="0" max="5" min="4" style="0" width="20"/>
  </cols>
  <sheetData>
    <row r="1" customFormat="false" ht="24" hidden="false" customHeight="true" outlineLevel="0" collapsed="false">
      <c r="A1" s="1" t="s">
        <v>50</v>
      </c>
    </row>
    <row r="2" customFormat="false" ht="15" hidden="false" customHeight="false" outlineLevel="0" collapsed="false">
      <c r="A2" s="2" t="s">
        <v>51</v>
      </c>
    </row>
    <row r="4" customFormat="false" ht="15" hidden="false" customHeight="false" outlineLevel="0" collapsed="false">
      <c r="A4" s="29" t="s">
        <v>52</v>
      </c>
      <c r="B4" s="8"/>
      <c r="C4" s="8"/>
      <c r="D4" s="8"/>
      <c r="E4" s="8"/>
    </row>
    <row r="5" customFormat="false" ht="21.75" hidden="false" customHeight="true" outlineLevel="0" collapsed="false">
      <c r="A5" s="9" t="s">
        <v>53</v>
      </c>
      <c r="B5" s="35" t="n">
        <v>150</v>
      </c>
      <c r="C5" s="22" t="s">
        <v>54</v>
      </c>
      <c r="D5" s="22"/>
      <c r="E5" s="22"/>
    </row>
    <row r="6" customFormat="false" ht="21.75" hidden="false" customHeight="true" outlineLevel="0" collapsed="false">
      <c r="A6" s="16" t="s">
        <v>55</v>
      </c>
      <c r="B6" s="36" t="n">
        <v>3.5</v>
      </c>
      <c r="C6" s="11" t="s">
        <v>56</v>
      </c>
      <c r="D6" s="11"/>
      <c r="E6" s="11"/>
    </row>
    <row r="7" customFormat="false" ht="21.75" hidden="false" customHeight="true" outlineLevel="0" collapsed="false">
      <c r="A7" s="16" t="s">
        <v>57</v>
      </c>
      <c r="B7" s="37" t="n">
        <v>22</v>
      </c>
      <c r="C7" s="11" t="s">
        <v>58</v>
      </c>
      <c r="D7" s="11"/>
      <c r="E7" s="11"/>
    </row>
    <row r="8" customFormat="false" ht="21.75" hidden="false" customHeight="true" outlineLevel="0" collapsed="false">
      <c r="A8" s="16" t="s">
        <v>59</v>
      </c>
      <c r="B8" s="37" t="n">
        <v>1</v>
      </c>
      <c r="C8" s="11" t="s">
        <v>60</v>
      </c>
      <c r="D8" s="11"/>
      <c r="E8" s="11"/>
    </row>
    <row r="9" customFormat="false" ht="21.75" hidden="false" customHeight="true" outlineLevel="0" collapsed="false">
      <c r="A9" s="9" t="s">
        <v>61</v>
      </c>
      <c r="B9" s="38" t="n">
        <v>10000</v>
      </c>
      <c r="C9" s="11" t="s">
        <v>62</v>
      </c>
      <c r="D9" s="11"/>
      <c r="E9" s="11"/>
    </row>
    <row r="10" customFormat="false" ht="21.75" hidden="false" customHeight="true" outlineLevel="0" collapsed="false">
      <c r="A10" s="9" t="s">
        <v>63</v>
      </c>
      <c r="B10" s="39" t="n">
        <v>0.036</v>
      </c>
      <c r="C10" s="11" t="s">
        <v>64</v>
      </c>
      <c r="D10" s="11"/>
      <c r="E10" s="11"/>
    </row>
    <row r="11" customFormat="false" ht="21.75" hidden="false" customHeight="true" outlineLevel="0" collapsed="false">
      <c r="A11" s="16" t="s">
        <v>65</v>
      </c>
      <c r="B11" s="40" t="n">
        <v>1024</v>
      </c>
      <c r="C11" s="22" t="s">
        <v>66</v>
      </c>
      <c r="D11" s="22"/>
      <c r="E11" s="22"/>
    </row>
    <row r="13" customFormat="false" ht="15" hidden="false" customHeight="false" outlineLevel="0" collapsed="false">
      <c r="A13" s="7" t="s">
        <v>67</v>
      </c>
      <c r="B13" s="8"/>
      <c r="C13" s="8"/>
      <c r="D13" s="8"/>
      <c r="E13" s="8"/>
    </row>
    <row r="14" customFormat="false" ht="21.75" hidden="false" customHeight="true" outlineLevel="0" collapsed="false">
      <c r="A14" s="3" t="s">
        <v>2</v>
      </c>
      <c r="B14" s="3" t="s">
        <v>68</v>
      </c>
      <c r="C14" s="3" t="s">
        <v>69</v>
      </c>
      <c r="D14" s="3"/>
      <c r="E14" s="3" t="s">
        <v>70</v>
      </c>
    </row>
    <row r="15" customFormat="false" ht="39.75" hidden="false" customHeight="true" outlineLevel="0" collapsed="false">
      <c r="A15" s="41" t="s">
        <v>10</v>
      </c>
      <c r="B15" s="38" t="n">
        <v>80000</v>
      </c>
      <c r="C15" s="11" t="s">
        <v>71</v>
      </c>
      <c r="D15" s="11"/>
      <c r="E15" s="11" t="s">
        <v>72</v>
      </c>
    </row>
    <row r="16" customFormat="false" ht="39.75" hidden="false" customHeight="true" outlineLevel="0" collapsed="false">
      <c r="A16" s="41" t="s">
        <v>12</v>
      </c>
      <c r="B16" s="38" t="n">
        <v>20000</v>
      </c>
      <c r="C16" s="11" t="s">
        <v>73</v>
      </c>
      <c r="D16" s="11"/>
      <c r="E16" s="11" t="s">
        <v>74</v>
      </c>
    </row>
    <row r="17" customFormat="false" ht="15" hidden="false" customHeight="false" outlineLevel="0" collapsed="false">
      <c r="A17" s="12" t="s">
        <v>14</v>
      </c>
      <c r="B17" s="13" t="n">
        <f aca="false">SUM(B15:B16)</f>
        <v>100000</v>
      </c>
      <c r="C17" s="14"/>
      <c r="D17" s="14"/>
      <c r="E17" s="14"/>
    </row>
    <row r="19" customFormat="false" ht="15" hidden="false" customHeight="false" outlineLevel="0" collapsed="false">
      <c r="A19" s="15" t="s">
        <v>75</v>
      </c>
      <c r="B19" s="8"/>
      <c r="C19" s="8"/>
      <c r="D19" s="8"/>
      <c r="E19" s="8"/>
    </row>
    <row r="20" customFormat="false" ht="21.75" hidden="false" customHeight="true" outlineLevel="0" collapsed="false">
      <c r="A20" s="3" t="s">
        <v>76</v>
      </c>
      <c r="B20" s="42" t="s">
        <v>77</v>
      </c>
      <c r="C20" s="42" t="s">
        <v>78</v>
      </c>
      <c r="D20" s="42" t="s">
        <v>79</v>
      </c>
      <c r="E20" s="3" t="s">
        <v>80</v>
      </c>
    </row>
    <row r="21" customFormat="false" ht="24" hidden="false" customHeight="true" outlineLevel="0" collapsed="false">
      <c r="A21" s="43" t="s">
        <v>81</v>
      </c>
      <c r="B21" s="21" t="n">
        <v>4500</v>
      </c>
      <c r="C21" s="28" t="n">
        <v>4500</v>
      </c>
      <c r="D21" s="21" t="n">
        <v>9000</v>
      </c>
      <c r="E21" s="22" t="s">
        <v>82</v>
      </c>
    </row>
    <row r="22" customFormat="false" ht="24" hidden="false" customHeight="true" outlineLevel="0" collapsed="false">
      <c r="A22" s="43" t="s">
        <v>83</v>
      </c>
      <c r="B22" s="21" t="n">
        <v>5500</v>
      </c>
      <c r="C22" s="28" t="n">
        <v>11000</v>
      </c>
      <c r="D22" s="21" t="n">
        <v>11000</v>
      </c>
      <c r="E22" s="22" t="s">
        <v>84</v>
      </c>
    </row>
    <row r="23" customFormat="false" ht="24" hidden="false" customHeight="true" outlineLevel="0" collapsed="false">
      <c r="A23" s="43" t="s">
        <v>85</v>
      </c>
      <c r="B23" s="21" t="n">
        <v>2000</v>
      </c>
      <c r="C23" s="28" t="n">
        <v>2000</v>
      </c>
      <c r="D23" s="21" t="n">
        <v>4000</v>
      </c>
      <c r="E23" s="22" t="s">
        <v>86</v>
      </c>
    </row>
    <row r="24" customFormat="false" ht="24" hidden="false" customHeight="true" outlineLevel="0" collapsed="false">
      <c r="A24" s="43" t="s">
        <v>87</v>
      </c>
      <c r="B24" s="21" t="n">
        <v>3000</v>
      </c>
      <c r="C24" s="28" t="n">
        <v>3000</v>
      </c>
      <c r="D24" s="21" t="n">
        <v>3000</v>
      </c>
      <c r="E24" s="22" t="s">
        <v>88</v>
      </c>
    </row>
    <row r="25" customFormat="false" ht="24" hidden="false" customHeight="true" outlineLevel="0" collapsed="false">
      <c r="A25" s="43" t="s">
        <v>89</v>
      </c>
      <c r="B25" s="21" t="n">
        <v>0</v>
      </c>
      <c r="C25" s="28" t="n">
        <v>0</v>
      </c>
      <c r="D25" s="21" t="n">
        <v>6700</v>
      </c>
      <c r="E25" s="22" t="s">
        <v>90</v>
      </c>
    </row>
    <row r="26" customFormat="false" ht="24" hidden="false" customHeight="true" outlineLevel="0" collapsed="false">
      <c r="A26" s="43" t="s">
        <v>91</v>
      </c>
      <c r="B26" s="21" t="n">
        <v>500</v>
      </c>
      <c r="C26" s="28" t="n">
        <v>500</v>
      </c>
      <c r="D26" s="21" t="n">
        <v>500</v>
      </c>
      <c r="E26" s="11" t="s">
        <v>92</v>
      </c>
    </row>
    <row r="27" customFormat="false" ht="24" hidden="false" customHeight="true" outlineLevel="0" collapsed="false">
      <c r="A27" s="43" t="s">
        <v>93</v>
      </c>
      <c r="B27" s="21" t="n">
        <v>200</v>
      </c>
      <c r="C27" s="28" t="n">
        <v>200</v>
      </c>
      <c r="D27" s="21" t="n">
        <v>200</v>
      </c>
      <c r="E27" s="11" t="s">
        <v>94</v>
      </c>
    </row>
    <row r="28" customFormat="false" ht="24" hidden="false" customHeight="true" outlineLevel="0" collapsed="false">
      <c r="A28" s="43" t="s">
        <v>95</v>
      </c>
      <c r="B28" s="21" t="n">
        <v>1600</v>
      </c>
      <c r="C28" s="28" t="n">
        <v>1600</v>
      </c>
      <c r="D28" s="21" t="n">
        <v>1600</v>
      </c>
      <c r="E28" s="11" t="s">
        <v>96</v>
      </c>
    </row>
    <row r="29" customFormat="false" ht="15" hidden="false" customHeight="false" outlineLevel="0" collapsed="false">
      <c r="A29" s="12" t="s">
        <v>97</v>
      </c>
      <c r="B29" s="44" t="n">
        <f aca="false">SUM(B21:B28)</f>
        <v>17300</v>
      </c>
      <c r="C29" s="20" t="n">
        <f aca="false">SUM(C21:C28)</f>
        <v>22800</v>
      </c>
      <c r="D29" s="44" t="n">
        <f aca="false">SUM(D21:D28)</f>
        <v>36000</v>
      </c>
      <c r="E29" s="14"/>
    </row>
    <row r="30" customFormat="false" ht="30" hidden="false" customHeight="true" outlineLevel="0" collapsed="false">
      <c r="A30" s="45" t="s">
        <v>98</v>
      </c>
      <c r="B30" s="46" t="s">
        <v>99</v>
      </c>
      <c r="C30" s="47" t="s">
        <v>100</v>
      </c>
      <c r="D30" s="48" t="s">
        <v>101</v>
      </c>
      <c r="E30" s="49"/>
    </row>
    <row r="32" customFormat="false" ht="15" hidden="false" customHeight="false" outlineLevel="0" collapsed="false">
      <c r="A32" s="50" t="s">
        <v>102</v>
      </c>
      <c r="B32" s="8"/>
      <c r="C32" s="8"/>
      <c r="D32" s="8"/>
      <c r="E32" s="8"/>
    </row>
    <row r="33" customFormat="false" ht="24" hidden="false" customHeight="true" outlineLevel="0" collapsed="false">
      <c r="A33" s="16" t="s">
        <v>103</v>
      </c>
      <c r="B33" s="51" t="n">
        <f aca="false">C29</f>
        <v>22800</v>
      </c>
      <c r="C33" s="11" t="s">
        <v>104</v>
      </c>
      <c r="D33" s="11"/>
      <c r="E33" s="11"/>
    </row>
    <row r="35" customFormat="false" ht="15" hidden="false" customHeight="false" outlineLevel="0" collapsed="false">
      <c r="A35" s="15" t="s">
        <v>105</v>
      </c>
      <c r="B35" s="8"/>
      <c r="C35" s="8"/>
      <c r="D35" s="8"/>
      <c r="E35" s="8"/>
    </row>
    <row r="36" customFormat="false" ht="21.75" hidden="false" customHeight="true" outlineLevel="0" collapsed="false">
      <c r="A36" s="3" t="s">
        <v>2</v>
      </c>
      <c r="B36" s="3" t="s">
        <v>106</v>
      </c>
      <c r="C36" s="3" t="s">
        <v>107</v>
      </c>
      <c r="D36" s="3" t="s">
        <v>108</v>
      </c>
      <c r="E36" s="3" t="s">
        <v>70</v>
      </c>
    </row>
    <row r="37" customFormat="false" ht="24" hidden="false" customHeight="true" outlineLevel="0" collapsed="false">
      <c r="A37" s="52" t="s">
        <v>18</v>
      </c>
      <c r="B37" s="53" t="n">
        <f aca="false">0.114*$B$5</f>
        <v>17.1</v>
      </c>
      <c r="C37" s="54" t="s">
        <v>109</v>
      </c>
      <c r="D37" s="22" t="s">
        <v>110</v>
      </c>
      <c r="E37" s="11" t="s">
        <v>111</v>
      </c>
    </row>
    <row r="38" customFormat="false" ht="24" hidden="false" customHeight="true" outlineLevel="0" collapsed="false">
      <c r="A38" s="52" t="s">
        <v>20</v>
      </c>
      <c r="B38" s="53" t="n">
        <f aca="false">0.025*$B$5</f>
        <v>3.75</v>
      </c>
      <c r="C38" s="54" t="s">
        <v>112</v>
      </c>
      <c r="D38" s="22" t="s">
        <v>113</v>
      </c>
      <c r="E38" s="11" t="s">
        <v>114</v>
      </c>
    </row>
    <row r="39" customFormat="false" ht="24" hidden="false" customHeight="true" outlineLevel="0" collapsed="false">
      <c r="A39" s="52" t="s">
        <v>22</v>
      </c>
      <c r="B39" s="55" t="n">
        <f aca="false">0.001*$B$5</f>
        <v>0.15</v>
      </c>
      <c r="C39" s="54" t="s">
        <v>115</v>
      </c>
      <c r="D39" s="22" t="s">
        <v>116</v>
      </c>
      <c r="E39" s="22" t="s">
        <v>117</v>
      </c>
    </row>
    <row r="40" customFormat="false" ht="24" hidden="false" customHeight="true" outlineLevel="0" collapsed="false">
      <c r="A40" s="52" t="s">
        <v>24</v>
      </c>
      <c r="B40" s="55" t="n">
        <f aca="false">0.0195*$B$5</f>
        <v>2.925</v>
      </c>
      <c r="C40" s="54" t="s">
        <v>115</v>
      </c>
      <c r="D40" s="22" t="s">
        <v>118</v>
      </c>
      <c r="E40" s="22" t="s">
        <v>119</v>
      </c>
    </row>
    <row r="41" customFormat="false" ht="24" hidden="false" customHeight="true" outlineLevel="0" collapsed="false">
      <c r="A41" s="52" t="s">
        <v>26</v>
      </c>
      <c r="B41" s="55" t="n">
        <v>0.02</v>
      </c>
      <c r="C41" s="54" t="s">
        <v>120</v>
      </c>
      <c r="D41" s="22" t="s">
        <v>121</v>
      </c>
      <c r="E41" s="22" t="s">
        <v>122</v>
      </c>
    </row>
    <row r="43" customFormat="false" ht="15" hidden="false" customHeight="false" outlineLevel="0" collapsed="false">
      <c r="A43" s="7" t="s">
        <v>123</v>
      </c>
      <c r="B43" s="8"/>
      <c r="C43" s="8"/>
      <c r="D43" s="8"/>
      <c r="E43" s="8"/>
    </row>
    <row r="44" customFormat="false" ht="27.75" hidden="false" customHeight="true" outlineLevel="0" collapsed="false">
      <c r="A44" s="52" t="s">
        <v>30</v>
      </c>
      <c r="B44" s="38" t="n">
        <v>5000</v>
      </c>
      <c r="C44" s="22" t="s">
        <v>124</v>
      </c>
      <c r="D44" s="22"/>
      <c r="E44" s="22"/>
    </row>
    <row r="46" customFormat="false" ht="15" hidden="false" customHeight="false" outlineLevel="0" collapsed="false">
      <c r="A46" s="33" t="s">
        <v>125</v>
      </c>
    </row>
    <row r="47" customFormat="false" ht="15" hidden="false" customHeight="false" outlineLevel="0" collapsed="false">
      <c r="A47" s="34" t="s">
        <v>126</v>
      </c>
    </row>
    <row r="48" customFormat="false" ht="15" hidden="false" customHeight="false" outlineLevel="0" collapsed="false">
      <c r="A48" s="34" t="s">
        <v>127</v>
      </c>
    </row>
    <row r="49" customFormat="false" ht="15" hidden="false" customHeight="false" outlineLevel="0" collapsed="false">
      <c r="A49" s="34" t="s">
        <v>128</v>
      </c>
    </row>
  </sheetData>
  <mergeCells count="11">
    <mergeCell ref="C5:E5"/>
    <mergeCell ref="C6:E6"/>
    <mergeCell ref="C7:E7"/>
    <mergeCell ref="C8:E8"/>
    <mergeCell ref="C9:E9"/>
    <mergeCell ref="C10:E10"/>
    <mergeCell ref="C11:E11"/>
    <mergeCell ref="C15:D15"/>
    <mergeCell ref="C16:D16"/>
    <mergeCell ref="C33:E33"/>
    <mergeCell ref="C44:E4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4" min="2" style="0" width="30"/>
  </cols>
  <sheetData>
    <row r="1" customFormat="false" ht="24" hidden="false" customHeight="true" outlineLevel="0" collapsed="false">
      <c r="A1" s="1" t="s">
        <v>129</v>
      </c>
    </row>
    <row r="2" customFormat="false" ht="15" hidden="false" customHeight="false" outlineLevel="0" collapsed="false">
      <c r="A2" s="2" t="s">
        <v>130</v>
      </c>
    </row>
    <row r="4" customFormat="false" ht="25.5" hidden="false" customHeight="true" outlineLevel="0" collapsed="false">
      <c r="A4" s="3" t="s">
        <v>131</v>
      </c>
      <c r="B4" s="3" t="s">
        <v>132</v>
      </c>
      <c r="C4" s="42" t="s">
        <v>133</v>
      </c>
      <c r="D4" s="42" t="s">
        <v>134</v>
      </c>
    </row>
    <row r="5" customFormat="false" ht="25.5" hidden="false" customHeight="true" outlineLevel="0" collapsed="false">
      <c r="A5" s="41" t="s">
        <v>135</v>
      </c>
      <c r="B5" s="56" t="s">
        <v>136</v>
      </c>
      <c r="C5" s="56" t="s">
        <v>137</v>
      </c>
      <c r="D5" s="56" t="s">
        <v>138</v>
      </c>
    </row>
    <row r="6" customFormat="false" ht="25.5" hidden="false" customHeight="true" outlineLevel="0" collapsed="false">
      <c r="A6" s="57" t="s">
        <v>139</v>
      </c>
      <c r="B6" s="58" t="s">
        <v>140</v>
      </c>
      <c r="C6" s="59" t="s">
        <v>141</v>
      </c>
      <c r="D6" s="60" t="s">
        <v>142</v>
      </c>
    </row>
    <row r="7" customFormat="false" ht="25.5" hidden="false" customHeight="true" outlineLevel="0" collapsed="false">
      <c r="A7" s="57" t="s">
        <v>143</v>
      </c>
      <c r="B7" s="58" t="s">
        <v>144</v>
      </c>
      <c r="C7" s="59" t="s">
        <v>141</v>
      </c>
      <c r="D7" s="60" t="s">
        <v>145</v>
      </c>
    </row>
    <row r="8" customFormat="false" ht="25.5" hidden="false" customHeight="true" outlineLevel="0" collapsed="false">
      <c r="A8" s="57" t="s">
        <v>146</v>
      </c>
      <c r="B8" s="58" t="s">
        <v>147</v>
      </c>
      <c r="C8" s="59" t="s">
        <v>148</v>
      </c>
      <c r="D8" s="61" t="s">
        <v>149</v>
      </c>
    </row>
    <row r="9" customFormat="false" ht="25.5" hidden="false" customHeight="true" outlineLevel="0" collapsed="false">
      <c r="A9" s="41" t="s">
        <v>150</v>
      </c>
      <c r="B9" s="58" t="s">
        <v>151</v>
      </c>
      <c r="C9" s="59" t="s">
        <v>148</v>
      </c>
      <c r="D9" s="61" t="s">
        <v>149</v>
      </c>
    </row>
    <row r="10" customFormat="false" ht="25.5" hidden="false" customHeight="true" outlineLevel="0" collapsed="false">
      <c r="A10" s="57" t="s">
        <v>152</v>
      </c>
      <c r="B10" s="58" t="s">
        <v>153</v>
      </c>
      <c r="C10" s="59" t="s">
        <v>154</v>
      </c>
      <c r="D10" s="60" t="s">
        <v>155</v>
      </c>
    </row>
    <row r="11" customFormat="false" ht="25.5" hidden="false" customHeight="true" outlineLevel="0" collapsed="false">
      <c r="A11" s="57" t="s">
        <v>156</v>
      </c>
      <c r="B11" s="62" t="s">
        <v>157</v>
      </c>
      <c r="C11" s="59" t="s">
        <v>158</v>
      </c>
      <c r="D11" s="61" t="s">
        <v>159</v>
      </c>
    </row>
    <row r="12" customFormat="false" ht="25.5" hidden="false" customHeight="true" outlineLevel="0" collapsed="false">
      <c r="A12" s="41" t="s">
        <v>160</v>
      </c>
      <c r="B12" s="62" t="s">
        <v>157</v>
      </c>
      <c r="C12" s="62" t="s">
        <v>157</v>
      </c>
      <c r="D12" s="60" t="s">
        <v>161</v>
      </c>
    </row>
    <row r="13" customFormat="false" ht="25.5" hidden="false" customHeight="true" outlineLevel="0" collapsed="false">
      <c r="A13" s="41" t="s">
        <v>162</v>
      </c>
      <c r="B13" s="62" t="s">
        <v>157</v>
      </c>
      <c r="C13" s="59" t="s">
        <v>163</v>
      </c>
      <c r="D13" s="61" t="s">
        <v>164</v>
      </c>
    </row>
    <row r="14" customFormat="false" ht="25.5" hidden="false" customHeight="true" outlineLevel="0" collapsed="false">
      <c r="A14" s="41" t="s">
        <v>165</v>
      </c>
      <c r="B14" s="56" t="s">
        <v>166</v>
      </c>
      <c r="C14" s="59" t="s">
        <v>167</v>
      </c>
      <c r="D14" s="61" t="s">
        <v>168</v>
      </c>
    </row>
    <row r="15" customFormat="false" ht="25.5" hidden="false" customHeight="true" outlineLevel="0" collapsed="false">
      <c r="A15" s="63" t="s">
        <v>169</v>
      </c>
      <c r="B15" s="64" t="s">
        <v>170</v>
      </c>
      <c r="C15" s="65" t="s">
        <v>171</v>
      </c>
      <c r="D15" s="66" t="s">
        <v>172</v>
      </c>
    </row>
    <row r="17" customFormat="false" ht="15" hidden="false" customHeight="false" outlineLevel="0" collapsed="false">
      <c r="A17" s="67" t="s">
        <v>173</v>
      </c>
    </row>
    <row r="18" customFormat="false" ht="15" hidden="false" customHeight="false" outlineLevel="0" collapsed="false">
      <c r="A18" s="68" t="s">
        <v>174</v>
      </c>
    </row>
    <row r="19" customFormat="false" ht="15" hidden="false" customHeight="false" outlineLevel="0" collapsed="false">
      <c r="A19" s="69" t="s">
        <v>175</v>
      </c>
    </row>
    <row r="20" customFormat="false" ht="15" hidden="false" customHeight="false" outlineLevel="0" collapsed="false">
      <c r="A20" s="69"/>
    </row>
    <row r="21" customFormat="false" ht="15" hidden="false" customHeight="false" outlineLevel="0" collapsed="false">
      <c r="A21" s="70" t="s">
        <v>176</v>
      </c>
    </row>
    <row r="22" customFormat="false" ht="15" hidden="false" customHeight="false" outlineLevel="0" collapsed="false">
      <c r="A22" s="69" t="s">
        <v>177</v>
      </c>
    </row>
    <row r="23" customFormat="false" ht="15" hidden="false" customHeight="false" outlineLevel="0" collapsed="false">
      <c r="A23" s="69"/>
    </row>
    <row r="24" customFormat="false" ht="15" hidden="false" customHeight="false" outlineLevel="0" collapsed="false">
      <c r="A24" s="71" t="s">
        <v>178</v>
      </c>
    </row>
    <row r="25" customFormat="false" ht="15" hidden="false" customHeight="false" outlineLevel="0" collapsed="false">
      <c r="A25" s="69" t="s">
        <v>179</v>
      </c>
    </row>
    <row r="26" customFormat="false" ht="15" hidden="false" customHeight="false" outlineLevel="0" collapsed="false">
      <c r="A26" s="69" t="s">
        <v>180</v>
      </c>
    </row>
    <row r="27" customFormat="false" ht="15" hidden="false" customHeight="false" outlineLevel="0" collapsed="false">
      <c r="A27" s="69" t="s">
        <v>181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50"/>
    <col collapsed="false" customWidth="true" hidden="false" outlineLevel="0" max="3" min="3" style="0" width="46"/>
  </cols>
  <sheetData>
    <row r="1" customFormat="false" ht="24" hidden="false" customHeight="true" outlineLevel="0" collapsed="false">
      <c r="A1" s="1" t="s">
        <v>12</v>
      </c>
    </row>
    <row r="2" customFormat="false" ht="15" hidden="false" customHeight="false" outlineLevel="0" collapsed="false">
      <c r="A2" s="2" t="s">
        <v>182</v>
      </c>
    </row>
    <row r="4" customFormat="false" ht="21.75" hidden="false" customHeight="true" outlineLevel="0" collapsed="false">
      <c r="A4" s="3" t="s">
        <v>2</v>
      </c>
      <c r="B4" s="3" t="s">
        <v>69</v>
      </c>
      <c r="C4" s="3" t="s">
        <v>70</v>
      </c>
    </row>
    <row r="5" customFormat="false" ht="37.5" hidden="false" customHeight="true" outlineLevel="0" collapsed="false">
      <c r="A5" s="41" t="s">
        <v>183</v>
      </c>
      <c r="B5" s="59" t="s">
        <v>184</v>
      </c>
      <c r="C5" s="11" t="s">
        <v>185</v>
      </c>
    </row>
    <row r="6" customFormat="false" ht="37.5" hidden="false" customHeight="true" outlineLevel="0" collapsed="false">
      <c r="A6" s="41" t="s">
        <v>186</v>
      </c>
      <c r="B6" s="59" t="s">
        <v>187</v>
      </c>
      <c r="C6" s="11" t="s">
        <v>188</v>
      </c>
    </row>
    <row r="7" customFormat="false" ht="37.5" hidden="false" customHeight="true" outlineLevel="0" collapsed="false">
      <c r="A7" s="41" t="s">
        <v>189</v>
      </c>
      <c r="B7" s="59" t="s">
        <v>190</v>
      </c>
      <c r="C7" s="11" t="s">
        <v>191</v>
      </c>
    </row>
    <row r="8" customFormat="false" ht="37.5" hidden="false" customHeight="true" outlineLevel="0" collapsed="false">
      <c r="A8" s="41" t="s">
        <v>192</v>
      </c>
      <c r="B8" s="59" t="s">
        <v>193</v>
      </c>
      <c r="C8" s="11" t="s">
        <v>194</v>
      </c>
    </row>
    <row r="9" customFormat="false" ht="37.5" hidden="false" customHeight="true" outlineLevel="0" collapsed="false">
      <c r="A9" s="41" t="s">
        <v>195</v>
      </c>
      <c r="B9" s="59" t="s">
        <v>196</v>
      </c>
      <c r="C9" s="11" t="s">
        <v>197</v>
      </c>
    </row>
    <row r="10" customFormat="false" ht="37.5" hidden="false" customHeight="true" outlineLevel="0" collapsed="false">
      <c r="A10" s="41" t="s">
        <v>198</v>
      </c>
      <c r="B10" s="59" t="s">
        <v>199</v>
      </c>
      <c r="C10" s="11" t="s">
        <v>200</v>
      </c>
    </row>
    <row r="11" customFormat="false" ht="37.5" hidden="false" customHeight="true" outlineLevel="0" collapsed="false">
      <c r="A11" s="41" t="s">
        <v>201</v>
      </c>
      <c r="B11" s="59" t="s">
        <v>202</v>
      </c>
      <c r="C11" s="11" t="s">
        <v>203</v>
      </c>
    </row>
    <row r="12" customFormat="false" ht="37.5" hidden="false" customHeight="true" outlineLevel="0" collapsed="false">
      <c r="A12" s="41" t="s">
        <v>204</v>
      </c>
      <c r="B12" s="59" t="s">
        <v>205</v>
      </c>
      <c r="C12" s="22" t="s">
        <v>206</v>
      </c>
    </row>
    <row r="14" customFormat="false" ht="15" hidden="false" customHeight="false" outlineLevel="0" collapsed="false">
      <c r="A14" s="72" t="s">
        <v>207</v>
      </c>
    </row>
    <row r="15" customFormat="false" ht="19.5" hidden="false" customHeight="true" outlineLevel="0" collapsed="false">
      <c r="A15" s="3" t="s">
        <v>208</v>
      </c>
      <c r="B15" s="3" t="s">
        <v>209</v>
      </c>
      <c r="C15" s="3" t="s">
        <v>69</v>
      </c>
    </row>
    <row r="16" customFormat="false" ht="30" hidden="false" customHeight="true" outlineLevel="0" collapsed="false">
      <c r="A16" s="59" t="s">
        <v>210</v>
      </c>
      <c r="B16" s="73" t="s">
        <v>211</v>
      </c>
      <c r="C16" s="11" t="s">
        <v>212</v>
      </c>
    </row>
    <row r="17" customFormat="false" ht="30" hidden="false" customHeight="true" outlineLevel="0" collapsed="false">
      <c r="A17" s="59" t="s">
        <v>213</v>
      </c>
      <c r="B17" s="74" t="s">
        <v>214</v>
      </c>
      <c r="C17" s="11" t="s">
        <v>215</v>
      </c>
    </row>
    <row r="18" customFormat="false" ht="30" hidden="false" customHeight="true" outlineLevel="0" collapsed="false">
      <c r="A18" s="59" t="s">
        <v>216</v>
      </c>
      <c r="B18" s="73" t="s">
        <v>211</v>
      </c>
      <c r="C18" s="11" t="s">
        <v>217</v>
      </c>
    </row>
    <row r="19" customFormat="false" ht="30" hidden="false" customHeight="true" outlineLevel="0" collapsed="false">
      <c r="A19" s="59" t="s">
        <v>218</v>
      </c>
      <c r="B19" s="74" t="s">
        <v>214</v>
      </c>
      <c r="C19" s="11" t="s">
        <v>219</v>
      </c>
    </row>
    <row r="21" customFormat="false" ht="15" hidden="false" customHeight="false" outlineLevel="0" collapsed="false">
      <c r="A21" s="75" t="s">
        <v>220</v>
      </c>
    </row>
    <row r="22" customFormat="false" ht="15" hidden="false" customHeight="false" outlineLevel="0" collapsed="false">
      <c r="A22" s="69" t="s">
        <v>221</v>
      </c>
    </row>
    <row r="23" customFormat="false" ht="15" hidden="false" customHeight="false" outlineLevel="0" collapsed="false">
      <c r="A23" s="76" t="s">
        <v>222</v>
      </c>
    </row>
    <row r="24" customFormat="false" ht="15" hidden="false" customHeight="false" outlineLevel="0" collapsed="false">
      <c r="A24" s="76" t="s">
        <v>223</v>
      </c>
    </row>
    <row r="25" customFormat="false" ht="15" hidden="false" customHeight="false" outlineLevel="0" collapsed="false">
      <c r="A25" s="69"/>
    </row>
    <row r="26" customFormat="false" ht="15" hidden="false" customHeight="false" outlineLevel="0" collapsed="false">
      <c r="A26" s="69" t="s">
        <v>224</v>
      </c>
    </row>
    <row r="27" customFormat="false" ht="15" hidden="false" customHeight="false" outlineLevel="0" collapsed="false">
      <c r="A27" s="69" t="s">
        <v>225</v>
      </c>
    </row>
    <row r="28" customFormat="false" ht="15" hidden="false" customHeight="false" outlineLevel="0" collapsed="false">
      <c r="A28" s="69" t="s">
        <v>226</v>
      </c>
    </row>
    <row r="29" customFormat="false" ht="15" hidden="false" customHeight="false" outlineLevel="0" collapsed="false">
      <c r="A29" s="69" t="s">
        <v>227</v>
      </c>
    </row>
    <row r="30" customFormat="false" ht="15" hidden="false" customHeight="false" outlineLevel="0" collapsed="false">
      <c r="A30" s="69"/>
    </row>
    <row r="31" customFormat="false" ht="15" hidden="false" customHeight="false" outlineLevel="0" collapsed="false">
      <c r="A31" s="75" t="s">
        <v>228</v>
      </c>
    </row>
    <row r="32" customFormat="false" ht="15" hidden="false" customHeight="false" outlineLevel="0" collapsed="false">
      <c r="A32" s="69" t="s">
        <v>229</v>
      </c>
    </row>
    <row r="33" customFormat="false" ht="15" hidden="false" customHeight="false" outlineLevel="0" collapsed="false">
      <c r="A33" s="77" t="s">
        <v>230</v>
      </c>
    </row>
    <row r="34" customFormat="false" ht="15" hidden="false" customHeight="false" outlineLevel="0" collapsed="false">
      <c r="A34" s="69"/>
    </row>
    <row r="35" customFormat="false" ht="15" hidden="false" customHeight="false" outlineLevel="0" collapsed="false">
      <c r="A35" s="75" t="s">
        <v>231</v>
      </c>
    </row>
    <row r="36" customFormat="false" ht="15" hidden="false" customHeight="false" outlineLevel="0" collapsed="false">
      <c r="A36" s="69" t="s">
        <v>232</v>
      </c>
    </row>
    <row r="37" customFormat="false" ht="15" hidden="false" customHeight="false" outlineLevel="0" collapsed="false">
      <c r="A37" s="69" t="s">
        <v>233</v>
      </c>
    </row>
    <row r="38" customFormat="false" ht="15" hidden="false" customHeight="false" outlineLevel="0" collapsed="false">
      <c r="A38" s="69" t="s">
        <v>234</v>
      </c>
    </row>
    <row r="39" customFormat="false" ht="15" hidden="false" customHeight="false" outlineLevel="0" collapsed="false">
      <c r="A39" s="69" t="s">
        <v>235</v>
      </c>
    </row>
    <row r="40" customFormat="false" ht="15" hidden="false" customHeight="false" outlineLevel="0" collapsed="false">
      <c r="A40" s="69" t="s">
        <v>236</v>
      </c>
    </row>
    <row r="41" customFormat="false" ht="15" hidden="false" customHeight="false" outlineLevel="0" collapsed="false">
      <c r="A41" s="69"/>
    </row>
    <row r="42" customFormat="false" ht="15" hidden="false" customHeight="false" outlineLevel="0" collapsed="false">
      <c r="A42" s="77" t="s">
        <v>237</v>
      </c>
    </row>
    <row r="43" customFormat="false" ht="15" hidden="false" customHeight="false" outlineLevel="0" collapsed="false">
      <c r="A43" s="78" t="s">
        <v>238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3" min="2" style="0" width="44"/>
  </cols>
  <sheetData>
    <row r="1" customFormat="false" ht="24" hidden="false" customHeight="true" outlineLevel="0" collapsed="false">
      <c r="A1" s="79" t="s">
        <v>239</v>
      </c>
    </row>
    <row r="4" customFormat="false" ht="21.75" hidden="false" customHeight="true" outlineLevel="0" collapsed="false">
      <c r="A4" s="3"/>
      <c r="B4" s="3" t="s">
        <v>240</v>
      </c>
      <c r="C4" s="3" t="s">
        <v>241</v>
      </c>
    </row>
    <row r="5" customFormat="false" ht="43.5" hidden="false" customHeight="true" outlineLevel="0" collapsed="false">
      <c r="A5" s="41" t="s">
        <v>242</v>
      </c>
      <c r="B5" s="58" t="s">
        <v>243</v>
      </c>
      <c r="C5" s="61" t="s">
        <v>244</v>
      </c>
    </row>
    <row r="6" customFormat="false" ht="43.5" hidden="false" customHeight="true" outlineLevel="0" collapsed="false">
      <c r="A6" s="41" t="s">
        <v>245</v>
      </c>
      <c r="B6" s="58" t="s">
        <v>246</v>
      </c>
      <c r="C6" s="61" t="s">
        <v>247</v>
      </c>
    </row>
    <row r="7" customFormat="false" ht="43.5" hidden="false" customHeight="true" outlineLevel="0" collapsed="false">
      <c r="A7" s="41" t="s">
        <v>248</v>
      </c>
      <c r="B7" s="58" t="s">
        <v>249</v>
      </c>
      <c r="C7" s="61" t="s">
        <v>250</v>
      </c>
    </row>
    <row r="8" customFormat="false" ht="43.5" hidden="false" customHeight="true" outlineLevel="0" collapsed="false">
      <c r="A8" s="41" t="s">
        <v>251</v>
      </c>
      <c r="B8" s="58" t="s">
        <v>252</v>
      </c>
      <c r="C8" s="61" t="s">
        <v>253</v>
      </c>
    </row>
    <row r="9" customFormat="false" ht="43.5" hidden="false" customHeight="true" outlineLevel="0" collapsed="false">
      <c r="A9" s="41" t="s">
        <v>254</v>
      </c>
      <c r="B9" s="58" t="s">
        <v>255</v>
      </c>
      <c r="C9" s="61" t="s">
        <v>256</v>
      </c>
    </row>
    <row r="11" customFormat="false" ht="15" hidden="false" customHeight="false" outlineLevel="0" collapsed="false">
      <c r="A11" s="75" t="s">
        <v>257</v>
      </c>
    </row>
    <row r="12" customFormat="false" ht="15" hidden="false" customHeight="false" outlineLevel="0" collapsed="false">
      <c r="A12" s="69"/>
    </row>
    <row r="13" customFormat="false" ht="15" hidden="false" customHeight="false" outlineLevel="0" collapsed="false">
      <c r="A13" s="80" t="s">
        <v>258</v>
      </c>
    </row>
    <row r="14" customFormat="false" ht="15" hidden="false" customHeight="false" outlineLevel="0" collapsed="false">
      <c r="A14" s="69" t="s">
        <v>259</v>
      </c>
    </row>
    <row r="15" customFormat="false" ht="15" hidden="false" customHeight="false" outlineLevel="0" collapsed="false">
      <c r="A15" s="69" t="s">
        <v>260</v>
      </c>
    </row>
    <row r="16" customFormat="false" ht="15" hidden="false" customHeight="false" outlineLevel="0" collapsed="false">
      <c r="A16" s="69"/>
    </row>
    <row r="17" customFormat="false" ht="15" hidden="false" customHeight="false" outlineLevel="0" collapsed="false">
      <c r="A17" s="70" t="s">
        <v>261</v>
      </c>
    </row>
    <row r="18" customFormat="false" ht="15" hidden="false" customHeight="false" outlineLevel="0" collapsed="false">
      <c r="A18" s="69" t="s">
        <v>262</v>
      </c>
    </row>
    <row r="19" customFormat="false" ht="15" hidden="false" customHeight="false" outlineLevel="0" collapsed="false">
      <c r="A19" s="69" t="s">
        <v>263</v>
      </c>
    </row>
    <row r="20" customFormat="false" ht="15" hidden="false" customHeight="false" outlineLevel="0" collapsed="false">
      <c r="A20" s="69"/>
    </row>
    <row r="21" customFormat="false" ht="15" hidden="false" customHeight="false" outlineLevel="0" collapsed="false">
      <c r="A21" s="75" t="s">
        <v>264</v>
      </c>
    </row>
    <row r="22" customFormat="false" ht="15" hidden="false" customHeight="false" outlineLevel="0" collapsed="false">
      <c r="A22" s="80" t="s">
        <v>265</v>
      </c>
    </row>
    <row r="23" customFormat="false" ht="15" hidden="false" customHeight="false" outlineLevel="0" collapsed="false">
      <c r="A23" s="80" t="s">
        <v>266</v>
      </c>
    </row>
    <row r="24" customFormat="false" ht="15" hidden="false" customHeight="false" outlineLevel="0" collapsed="false">
      <c r="A24" s="80" t="s">
        <v>267</v>
      </c>
    </row>
    <row r="25" customFormat="false" ht="15" hidden="false" customHeight="false" outlineLevel="0" collapsed="false">
      <c r="A25" s="80" t="s">
        <v>268</v>
      </c>
    </row>
    <row r="26" customFormat="false" ht="15" hidden="false" customHeight="false" outlineLevel="0" collapsed="false">
      <c r="A26" s="80" t="s">
        <v>269</v>
      </c>
    </row>
    <row r="27" customFormat="false" ht="15" hidden="false" customHeight="false" outlineLevel="0" collapsed="false">
      <c r="A27" s="69"/>
    </row>
    <row r="28" customFormat="false" ht="15" hidden="false" customHeight="false" outlineLevel="0" collapsed="false">
      <c r="A28" s="77" t="s">
        <v>270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2026-09-08T16:10:43Z</dcterms:created>
  <dc:creator>openpyxl</dc:creator>
  <dc:description/>
  <dc:language>en-US</dc:language>
  <cp:lastModifiedBy/>
  <dcterms:modified xsi:type="dcterms:W3CDTF">2026-09-08T16:10:43Z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