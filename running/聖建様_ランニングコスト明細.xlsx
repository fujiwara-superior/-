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1_月額サマリー" sheetId="1" state="visible" r:id="rId3"/>
    <sheet name="02_単価と前提" sheetId="2" state="visible" r:id="rId4"/>
    <sheet name="03_サーバー構成の比較" sheetId="3" state="visible" r:id="rId5"/>
    <sheet name="04_契約の分け方"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<sst xmlns="http://schemas.openxmlformats.org/spreadsheetml/2006/main" count="240" uniqueCount="218">
  <si>
    <t xml:space="preserve">月額ランニングコスト（受講者数別）</t>
  </si>
  <si>
    <r>
      <rPr>
        <sz val="9"/>
        <color rgb="FF6C7A87"/>
        <rFont val="WenQuanYi Zen Hei"/>
        <family val="2"/>
      </rPr>
      <t xml:space="preserve">受講者数（</t>
    </r>
    <r>
      <rPr>
        <sz val="9"/>
        <color rgb="FF6C7A87"/>
        <rFont val="Meiryo"/>
        <family val="0"/>
        <charset val="1"/>
      </rPr>
      <t xml:space="preserve">3</t>
    </r>
    <r>
      <rPr>
        <sz val="9"/>
        <color rgb="FF6C7A87"/>
        <rFont val="WenQuanYi Zen Hei"/>
        <family val="2"/>
      </rPr>
      <t xml:space="preserve">行目の黄色セル）を変えると全体が再計算されます。金額は税抜です。</t>
    </r>
  </si>
  <si>
    <t xml:space="preserve">項目</t>
  </si>
  <si>
    <r>
      <rPr>
        <b val="true"/>
        <sz val="9.5"/>
        <color rgb="FFFFFFFF"/>
        <rFont val="WenQuanYi Zen Hei"/>
        <family val="2"/>
      </rPr>
      <t xml:space="preserve">ケース</t>
    </r>
    <r>
      <rPr>
        <b val="true"/>
        <sz val="9.5"/>
        <color rgb="FFFFFFFF"/>
        <rFont val="Meiryo"/>
        <family val="0"/>
        <charset val="1"/>
      </rPr>
      <t xml:space="preserve">1</t>
    </r>
  </si>
  <si>
    <r>
      <rPr>
        <b val="true"/>
        <sz val="9.5"/>
        <color rgb="FFFFFFFF"/>
        <rFont val="WenQuanYi Zen Hei"/>
        <family val="2"/>
      </rPr>
      <t xml:space="preserve">ケース</t>
    </r>
    <r>
      <rPr>
        <b val="true"/>
        <sz val="9.5"/>
        <color rgb="FFFFFFFF"/>
        <rFont val="Meiryo"/>
        <family val="0"/>
        <charset val="1"/>
      </rPr>
      <t xml:space="preserve">2</t>
    </r>
  </si>
  <si>
    <r>
      <rPr>
        <b val="true"/>
        <sz val="9.5"/>
        <color rgb="FFFFFFFF"/>
        <rFont val="WenQuanYi Zen Hei"/>
        <family val="2"/>
      </rPr>
      <t xml:space="preserve">ケース</t>
    </r>
    <r>
      <rPr>
        <b val="true"/>
        <sz val="9.5"/>
        <color rgb="FFFFFFFF"/>
        <rFont val="Meiryo"/>
        <family val="0"/>
        <charset val="1"/>
      </rPr>
      <t xml:space="preserve">3</t>
    </r>
  </si>
  <si>
    <t xml:space="preserve">算出方法</t>
  </si>
  <si>
    <t xml:space="preserve">月間の受講者数</t>
  </si>
  <si>
    <r>
      <rPr>
        <sz val="9"/>
        <color rgb="FF6C7A87"/>
        <rFont val="WenQuanYi Zen Hei"/>
        <family val="2"/>
      </rPr>
      <t xml:space="preserve">想定される規模。年間では</t>
    </r>
    <r>
      <rPr>
        <sz val="9"/>
        <color rgb="FF6C7A87"/>
        <rFont val="Meiryo"/>
        <family val="0"/>
        <charset val="1"/>
      </rPr>
      <t xml:space="preserve">600</t>
    </r>
    <r>
      <rPr>
        <sz val="9"/>
        <color rgb="FF6C7A87"/>
        <rFont val="WenQuanYi Zen Hei"/>
        <family val="2"/>
      </rPr>
      <t xml:space="preserve">名／</t>
    </r>
    <r>
      <rPr>
        <sz val="9"/>
        <color rgb="FF6C7A87"/>
        <rFont val="Meiryo"/>
        <family val="0"/>
        <charset val="1"/>
      </rPr>
      <t xml:space="preserve">1,200</t>
    </r>
    <r>
      <rPr>
        <sz val="9"/>
        <color rgb="FF6C7A87"/>
        <rFont val="WenQuanYi Zen Hei"/>
        <family val="2"/>
      </rPr>
      <t xml:space="preserve">名／</t>
    </r>
    <r>
      <rPr>
        <sz val="9"/>
        <color rgb="FF6C7A87"/>
        <rFont val="Meiryo"/>
        <family val="0"/>
        <charset val="1"/>
      </rPr>
      <t xml:space="preserve">3,600</t>
    </r>
    <r>
      <rPr>
        <sz val="9"/>
        <color rgb="FF6C7A87"/>
        <rFont val="WenQuanYi Zen Hei"/>
        <family val="2"/>
      </rPr>
      <t xml:space="preserve">名</t>
    </r>
  </si>
  <si>
    <r>
      <rPr>
        <b val="true"/>
        <sz val="10"/>
        <color rgb="FF1B3A57"/>
        <rFont val="Meiryo"/>
        <family val="0"/>
        <charset val="1"/>
      </rPr>
      <t xml:space="preserve">A. </t>
    </r>
    <r>
      <rPr>
        <b val="true"/>
        <sz val="10"/>
        <color rgb="FF1B3A57"/>
        <rFont val="WenQuanYi Zen Hei"/>
        <family val="2"/>
      </rPr>
      <t xml:space="preserve">固定費</t>
    </r>
  </si>
  <si>
    <t xml:space="preserve">保守・運用サービス（弊社）</t>
  </si>
  <si>
    <t xml:space="preserve">定額。監視・障害対応・軽微改修・問い合わせ一次対応</t>
  </si>
  <si>
    <r>
      <rPr>
        <b val="true"/>
        <sz val="10"/>
        <color rgb="FF1A2430"/>
        <rFont val="WenQuanYi Zen Hei"/>
        <family val="2"/>
      </rPr>
      <t xml:space="preserve">インフラ・</t>
    </r>
    <r>
      <rPr>
        <b val="true"/>
        <sz val="10"/>
        <color rgb="FF1A2430"/>
        <rFont val="Meiryo"/>
        <family val="0"/>
        <charset val="1"/>
      </rPr>
      <t xml:space="preserve">SaaS </t>
    </r>
    <r>
      <rPr>
        <b val="true"/>
        <sz val="10"/>
        <color rgb="FF1A2430"/>
        <rFont val="WenQuanYi Zen Hei"/>
        <family val="2"/>
      </rPr>
      <t xml:space="preserve">固定費</t>
    </r>
  </si>
  <si>
    <r>
      <rPr>
        <sz val="9"/>
        <color rgb="FF6C7A87"/>
        <rFont val="WenQuanYi Zen Hei"/>
        <family val="2"/>
      </rPr>
      <t xml:space="preserve">サーバー、</t>
    </r>
    <r>
      <rPr>
        <sz val="9"/>
        <color rgb="FF6C7A87"/>
        <rFont val="Meiryo"/>
        <family val="0"/>
        <charset val="1"/>
      </rPr>
      <t xml:space="preserve">DB</t>
    </r>
    <r>
      <rPr>
        <sz val="9"/>
        <color rgb="FF6C7A87"/>
        <rFont val="WenQuanYi Zen Hei"/>
        <family val="2"/>
      </rPr>
      <t xml:space="preserve">、キャッシュ、監視、バックアップ、ドメイン等</t>
    </r>
  </si>
  <si>
    <t xml:space="preserve">固定費 小計</t>
  </si>
  <si>
    <r>
      <rPr>
        <b val="true"/>
        <sz val="10"/>
        <color rgb="FF1B3A57"/>
        <rFont val="Meiryo"/>
        <family val="0"/>
        <charset val="1"/>
      </rPr>
      <t xml:space="preserve">B. </t>
    </r>
    <r>
      <rPr>
        <b val="true"/>
        <sz val="10"/>
        <color rgb="FF1B3A57"/>
        <rFont val="WenQuanYi Zen Hei"/>
        <family val="2"/>
      </rPr>
      <t xml:space="preserve">変動費（受講者数に比例）</t>
    </r>
  </si>
  <si>
    <r>
      <rPr>
        <sz val="10"/>
        <color rgb="FF1A2430"/>
        <rFont val="WenQuanYi Zen Hei"/>
        <family val="2"/>
      </rPr>
      <t xml:space="preserve">動画配信（</t>
    </r>
    <r>
      <rPr>
        <sz val="10"/>
        <color rgb="FF1A2430"/>
        <rFont val="Meiryo"/>
        <family val="0"/>
        <charset val="1"/>
      </rPr>
      <t xml:space="preserve">CDN</t>
    </r>
    <r>
      <rPr>
        <sz val="10"/>
        <color rgb="FF1A2430"/>
        <rFont val="WenQuanYi Zen Hei"/>
        <family val="2"/>
      </rPr>
      <t xml:space="preserve">転送）</t>
    </r>
  </si>
  <si>
    <r>
      <rPr>
        <sz val="9"/>
        <color rgb="FF6C7A87"/>
        <rFont val="WenQuanYi Zen Hei"/>
        <family val="2"/>
      </rPr>
      <t xml:space="preserve">受講者数</t>
    </r>
    <r>
      <rPr>
        <sz val="9"/>
        <color rgb="FF6C7A87"/>
        <rFont val="Meiryo"/>
        <family val="0"/>
        <charset val="1"/>
      </rPr>
      <t xml:space="preserve">×3.5GB</t>
    </r>
    <r>
      <rPr>
        <sz val="9"/>
        <color rgb="FF6C7A87"/>
        <rFont val="WenQuanYi Zen Hei"/>
        <family val="2"/>
      </rPr>
      <t xml:space="preserve">。月</t>
    </r>
    <r>
      <rPr>
        <sz val="9"/>
        <color rgb="FF6C7A87"/>
        <rFont val="Meiryo"/>
        <family val="0"/>
        <charset val="1"/>
      </rPr>
      <t xml:space="preserve">1TB</t>
    </r>
    <r>
      <rPr>
        <sz val="9"/>
        <color rgb="FF6C7A87"/>
        <rFont val="WenQuanYi Zen Hei"/>
        <family val="2"/>
      </rPr>
      <t xml:space="preserve">の無料枠を差し引いて課金</t>
    </r>
  </si>
  <si>
    <t xml:space="preserve">オブジェクトストレージ</t>
  </si>
  <si>
    <r>
      <rPr>
        <sz val="9"/>
        <color rgb="FF6C7A87"/>
        <rFont val="WenQuanYi Zen Hei"/>
        <family val="2"/>
      </rPr>
      <t xml:space="preserve">教材動画 約</t>
    </r>
    <r>
      <rPr>
        <sz val="9"/>
        <color rgb="FF6C7A87"/>
        <rFont val="Meiryo"/>
        <family val="0"/>
        <charset val="1"/>
      </rPr>
      <t xml:space="preserve">50GB</t>
    </r>
    <r>
      <rPr>
        <sz val="9"/>
        <color rgb="FF6C7A87"/>
        <rFont val="WenQuanYi Zen Hei"/>
        <family val="2"/>
      </rPr>
      <t xml:space="preserve">＋本人確認画像（</t>
    </r>
    <r>
      <rPr>
        <sz val="9"/>
        <color rgb="FF6C7A87"/>
        <rFont val="Meiryo"/>
        <family val="0"/>
        <charset val="1"/>
      </rPr>
      <t xml:space="preserve">1</t>
    </r>
    <r>
      <rPr>
        <sz val="9"/>
        <color rgb="FF6C7A87"/>
        <rFont val="WenQuanYi Zen Hei"/>
        <family val="2"/>
      </rPr>
      <t xml:space="preserve">人あたり約</t>
    </r>
    <r>
      <rPr>
        <sz val="9"/>
        <color rgb="FF6C7A87"/>
        <rFont val="Meiryo"/>
        <family val="0"/>
        <charset val="1"/>
      </rPr>
      <t xml:space="preserve">20MB</t>
    </r>
    <r>
      <rPr>
        <sz val="9"/>
        <color rgb="FF6C7A87"/>
        <rFont val="WenQuanYi Zen Hei"/>
        <family val="2"/>
      </rPr>
      <t xml:space="preserve">）</t>
    </r>
  </si>
  <si>
    <r>
      <rPr>
        <sz val="10"/>
        <color rgb="FF1A2430"/>
        <rFont val="WenQuanYi Zen Hei"/>
        <family val="2"/>
      </rPr>
      <t xml:space="preserve">顔照合</t>
    </r>
    <r>
      <rPr>
        <sz val="10"/>
        <color rgb="FF1A2430"/>
        <rFont val="Meiryo"/>
        <family val="0"/>
        <charset val="1"/>
      </rPr>
      <t xml:space="preserve">API</t>
    </r>
  </si>
  <si>
    <r>
      <rPr>
        <sz val="9"/>
        <color rgb="FF6C7A87"/>
        <rFont val="WenQuanYi Zen Hei"/>
        <family val="2"/>
      </rPr>
      <t xml:space="preserve">受講者数</t>
    </r>
    <r>
      <rPr>
        <sz val="9"/>
        <color rgb="FF6C7A87"/>
        <rFont val="Meiryo"/>
        <family val="0"/>
        <charset val="1"/>
      </rPr>
      <t xml:space="preserve">×22</t>
    </r>
    <r>
      <rPr>
        <sz val="9"/>
        <color rgb="FF6C7A87"/>
        <rFont val="WenQuanYi Zen Hei"/>
        <family val="2"/>
      </rPr>
      <t xml:space="preserve">回</t>
    </r>
    <r>
      <rPr>
        <sz val="9"/>
        <color rgb="FF6C7A87"/>
        <rFont val="Meiryo"/>
        <family val="0"/>
        <charset val="1"/>
      </rPr>
      <t xml:space="preserve">×</t>
    </r>
    <r>
      <rPr>
        <sz val="9"/>
        <color rgb="FF6C7A87"/>
        <rFont val="WenQuanYi Zen Hei"/>
        <family val="2"/>
      </rPr>
      <t xml:space="preserve">単価</t>
    </r>
  </si>
  <si>
    <t xml:space="preserve">ライブネス判定</t>
  </si>
  <si>
    <r>
      <rPr>
        <sz val="9"/>
        <color rgb="FF6C7A87"/>
        <rFont val="WenQuanYi Zen Hei"/>
        <family val="2"/>
      </rPr>
      <t xml:space="preserve">受講者数</t>
    </r>
    <r>
      <rPr>
        <sz val="9"/>
        <color rgb="FF6C7A87"/>
        <rFont val="Meiryo"/>
        <family val="0"/>
        <charset val="1"/>
      </rPr>
      <t xml:space="preserve">×1</t>
    </r>
    <r>
      <rPr>
        <sz val="9"/>
        <color rgb="FF6C7A87"/>
        <rFont val="WenQuanYi Zen Hei"/>
        <family val="2"/>
      </rPr>
      <t xml:space="preserve">回</t>
    </r>
    <r>
      <rPr>
        <sz val="9"/>
        <color rgb="FF6C7A87"/>
        <rFont val="Meiryo"/>
        <family val="0"/>
        <charset val="1"/>
      </rPr>
      <t xml:space="preserve">×</t>
    </r>
    <r>
      <rPr>
        <sz val="9"/>
        <color rgb="FF6C7A87"/>
        <rFont val="WenQuanYi Zen Hei"/>
        <family val="2"/>
      </rPr>
      <t xml:space="preserve">単価</t>
    </r>
  </si>
  <si>
    <t xml:space="preserve">メール送信</t>
  </si>
  <si>
    <r>
      <rPr>
        <sz val="9"/>
        <color rgb="FF6C7A87"/>
        <rFont val="WenQuanYi Zen Hei"/>
        <family val="2"/>
      </rPr>
      <t xml:space="preserve">受講者数</t>
    </r>
    <r>
      <rPr>
        <sz val="9"/>
        <color rgb="FF6C7A87"/>
        <rFont val="Meiryo"/>
        <family val="0"/>
        <charset val="1"/>
      </rPr>
      <t xml:space="preserve">×5</t>
    </r>
    <r>
      <rPr>
        <sz val="9"/>
        <color rgb="FF6C7A87"/>
        <rFont val="WenQuanYi Zen Hei"/>
        <family val="2"/>
      </rPr>
      <t xml:space="preserve">通</t>
    </r>
    <r>
      <rPr>
        <sz val="9"/>
        <color rgb="FF6C7A87"/>
        <rFont val="Meiryo"/>
        <family val="0"/>
        <charset val="1"/>
      </rPr>
      <t xml:space="preserve">×</t>
    </r>
    <r>
      <rPr>
        <sz val="9"/>
        <color rgb="FF6C7A87"/>
        <rFont val="WenQuanYi Zen Hei"/>
        <family val="2"/>
      </rPr>
      <t xml:space="preserve">単価</t>
    </r>
  </si>
  <si>
    <t xml:space="preserve">変動費 小計</t>
  </si>
  <si>
    <t xml:space="preserve">月額ランニングコスト 合計（税抜）</t>
  </si>
  <si>
    <t xml:space="preserve">決済手数料を除く</t>
  </si>
  <si>
    <r>
      <rPr>
        <b val="true"/>
        <sz val="10"/>
        <color rgb="FF1A2430"/>
        <rFont val="WenQuanYi Zen Hei"/>
        <family val="2"/>
      </rPr>
      <t xml:space="preserve">うち 受講者</t>
    </r>
    <r>
      <rPr>
        <b val="true"/>
        <sz val="10"/>
        <color rgb="FF1A2430"/>
        <rFont val="Meiryo"/>
        <family val="0"/>
        <charset val="1"/>
      </rPr>
      <t xml:space="preserve">1</t>
    </r>
    <r>
      <rPr>
        <b val="true"/>
        <sz val="10"/>
        <color rgb="FF1A2430"/>
        <rFont val="WenQuanYi Zen Hei"/>
        <family val="2"/>
      </rPr>
      <t xml:space="preserve">名あたり</t>
    </r>
  </si>
  <si>
    <r>
      <rPr>
        <sz val="9"/>
        <color rgb="FF6C7A87"/>
        <rFont val="WenQuanYi Zen Hei"/>
        <family val="2"/>
      </rPr>
      <t xml:space="preserve">受講者が増えるほど</t>
    </r>
    <r>
      <rPr>
        <sz val="9"/>
        <color rgb="FF6C7A87"/>
        <rFont val="Meiryo"/>
        <family val="0"/>
        <charset val="1"/>
      </rPr>
      <t xml:space="preserve">1</t>
    </r>
    <r>
      <rPr>
        <sz val="9"/>
        <color rgb="FF6C7A87"/>
        <rFont val="WenQuanYi Zen Hei"/>
        <family val="2"/>
      </rPr>
      <t xml:space="preserve">名あたりの負担は下がります</t>
    </r>
  </si>
  <si>
    <r>
      <rPr>
        <b val="true"/>
        <sz val="10"/>
        <color rgb="FF9E2F27"/>
        <rFont val="Meiryo"/>
        <family val="0"/>
        <charset val="1"/>
      </rPr>
      <t xml:space="preserve">C. </t>
    </r>
    <r>
      <rPr>
        <b val="true"/>
        <sz val="10"/>
        <color rgb="FF9E2F27"/>
        <rFont val="WenQuanYi Zen Hei"/>
        <family val="2"/>
      </rPr>
      <t xml:space="preserve">売上連動費（参考・上記合計には含みません）</t>
    </r>
  </si>
  <si>
    <t xml:space="preserve">決済手数料</t>
  </si>
  <si>
    <r>
      <rPr>
        <sz val="9"/>
        <color rgb="FF6C7A87"/>
        <rFont val="WenQuanYi Zen Hei"/>
        <family val="2"/>
      </rPr>
      <t xml:space="preserve">受講者数</t>
    </r>
    <r>
      <rPr>
        <sz val="9"/>
        <color rgb="FF6C7A87"/>
        <rFont val="Meiryo"/>
        <family val="0"/>
        <charset val="1"/>
      </rPr>
      <t xml:space="preserve">×</t>
    </r>
    <r>
      <rPr>
        <sz val="9"/>
        <color rgb="FF6C7A87"/>
        <rFont val="WenQuanYi Zen Hei"/>
        <family val="2"/>
      </rPr>
      <t xml:space="preserve">受講料</t>
    </r>
    <r>
      <rPr>
        <sz val="9"/>
        <color rgb="FF6C7A87"/>
        <rFont val="Meiryo"/>
        <family val="0"/>
        <charset val="1"/>
      </rPr>
      <t xml:space="preserve">10,000</t>
    </r>
    <r>
      <rPr>
        <sz val="9"/>
        <color rgb="FF6C7A87"/>
        <rFont val="WenQuanYi Zen Hei"/>
        <family val="2"/>
      </rPr>
      <t xml:space="preserve">円</t>
    </r>
    <r>
      <rPr>
        <sz val="9"/>
        <color rgb="FF6C7A87"/>
        <rFont val="Meiryo"/>
        <family val="0"/>
        <charset val="1"/>
      </rPr>
      <t xml:space="preserve">×3.6%</t>
    </r>
    <r>
      <rPr>
        <sz val="9"/>
        <color rgb="FF6C7A87"/>
        <rFont val="WenQuanYi Zen Hei"/>
        <family val="2"/>
      </rPr>
      <t xml:space="preserve">。売上から支払う費用です</t>
    </r>
  </si>
  <si>
    <t xml:space="preserve">（参考）月間の想定売上</t>
  </si>
  <si>
    <r>
      <rPr>
        <sz val="9"/>
        <color rgb="FF6C7A87"/>
        <rFont val="WenQuanYi Zen Hei"/>
        <family val="2"/>
      </rPr>
      <t xml:space="preserve">受講料</t>
    </r>
    <r>
      <rPr>
        <sz val="9"/>
        <color rgb="FF6C7A87"/>
        <rFont val="Meiryo"/>
        <family val="0"/>
        <charset val="1"/>
      </rPr>
      <t xml:space="preserve">10,000</t>
    </r>
    <r>
      <rPr>
        <sz val="9"/>
        <color rgb="FF6C7A87"/>
        <rFont val="WenQuanYi Zen Hei"/>
        <family val="2"/>
      </rPr>
      <t xml:space="preserve">円で試算</t>
    </r>
  </si>
  <si>
    <t xml:space="preserve">（参考）売上－ランニング費用</t>
  </si>
  <si>
    <t xml:space="preserve">教材の償却前。ここが黒字になる受講者数が損益分岐です</t>
  </si>
  <si>
    <t xml:space="preserve">■ 読み方</t>
  </si>
  <si>
    <r>
      <rPr>
        <sz val="9.5"/>
        <color rgb="FF6C7A87"/>
        <rFont val="WenQuanYi Zen Hei"/>
        <family val="2"/>
      </rPr>
      <t xml:space="preserve">・固定費は受講者が</t>
    </r>
    <r>
      <rPr>
        <sz val="9.5"/>
        <color rgb="FF6C7A87"/>
        <rFont val="Meiryo"/>
        <family val="0"/>
        <charset val="1"/>
      </rPr>
      <t xml:space="preserve">0</t>
    </r>
    <r>
      <rPr>
        <sz val="9.5"/>
        <color rgb="FF6C7A87"/>
        <rFont val="WenQuanYi Zen Hei"/>
        <family val="2"/>
      </rPr>
      <t xml:space="preserve">名でも発生します。月額約</t>
    </r>
    <r>
      <rPr>
        <sz val="9.5"/>
        <color rgb="FF6C7A87"/>
        <rFont val="Meiryo"/>
        <family val="0"/>
        <charset val="1"/>
      </rPr>
      <t xml:space="preserve">10</t>
    </r>
    <r>
      <rPr>
        <sz val="9.5"/>
        <color rgb="FF6C7A87"/>
        <rFont val="WenQuanYi Zen Hei"/>
        <family val="2"/>
      </rPr>
      <t xml:space="preserve">万円が事業を維持する最低ラインです。</t>
    </r>
  </si>
  <si>
    <r>
      <rPr>
        <sz val="9.5"/>
        <color rgb="FF6C7A87"/>
        <rFont val="WenQuanYi Zen Hei"/>
        <family val="2"/>
      </rPr>
      <t xml:space="preserve">・変動費は受講者数に比例しますが、規模の割に小さい金額です。</t>
    </r>
    <r>
      <rPr>
        <sz val="9.5"/>
        <color rgb="FF6C7A87"/>
        <rFont val="Meiryo"/>
        <family val="0"/>
        <charset val="1"/>
      </rPr>
      <t xml:space="preserve">CDN</t>
    </r>
    <r>
      <rPr>
        <sz val="9.5"/>
        <color rgb="FF6C7A87"/>
        <rFont val="WenQuanYi Zen Hei"/>
        <family val="2"/>
      </rPr>
      <t xml:space="preserve">の無料枠が効いています。</t>
    </r>
  </si>
  <si>
    <t xml:space="preserve">・したがって、この事業の損益は「固定費を何名で割るか」でほぼ決まります。</t>
  </si>
  <si>
    <r>
      <rPr>
        <sz val="9.5"/>
        <color rgb="FF6C7A87"/>
        <rFont val="WenQuanYi Zen Hei"/>
        <family val="2"/>
      </rPr>
      <t xml:space="preserve">・受講料</t>
    </r>
    <r>
      <rPr>
        <sz val="9.5"/>
        <color rgb="FF6C7A87"/>
        <rFont val="Meiryo"/>
        <family val="0"/>
        <charset val="1"/>
      </rPr>
      <t xml:space="preserve">10,000</t>
    </r>
    <r>
      <rPr>
        <sz val="9.5"/>
        <color rgb="FF6C7A87"/>
        <rFont val="WenQuanYi Zen Hei"/>
        <family val="2"/>
      </rPr>
      <t xml:space="preserve">円なら、月</t>
    </r>
    <r>
      <rPr>
        <sz val="9.5"/>
        <color rgb="FF6C7A87"/>
        <rFont val="Meiryo"/>
        <family val="0"/>
        <charset val="1"/>
      </rPr>
      <t xml:space="preserve">11</t>
    </r>
    <r>
      <rPr>
        <sz val="9.5"/>
        <color rgb="FF6C7A87"/>
        <rFont val="WenQuanYi Zen Hei"/>
        <family val="2"/>
      </rPr>
      <t xml:space="preserve">〜</t>
    </r>
    <r>
      <rPr>
        <sz val="9.5"/>
        <color rgb="FF6C7A87"/>
        <rFont val="Meiryo"/>
        <family val="0"/>
        <charset val="1"/>
      </rPr>
      <t xml:space="preserve">12</t>
    </r>
    <r>
      <rPr>
        <sz val="9.5"/>
        <color rgb="FF6C7A87"/>
        <rFont val="WenQuanYi Zen Hei"/>
        <family val="2"/>
      </rPr>
      <t xml:space="preserve">名で固定費を回収できる計算になります。</t>
    </r>
  </si>
  <si>
    <t xml:space="preserve">ランニングコストの単価と前提</t>
  </si>
  <si>
    <r>
      <rPr>
        <sz val="9"/>
        <color rgb="FF6C7A87"/>
        <rFont val="WenQuanYi Zen Hei"/>
        <family val="2"/>
      </rPr>
      <t xml:space="preserve">黄色のセルが入力欄です。ここを変えると全シートが自動で再計算されます。金額は</t>
    </r>
    <r>
      <rPr>
        <sz val="9"/>
        <color rgb="FF6C7A87"/>
        <rFont val="Meiryo"/>
        <family val="0"/>
        <charset val="1"/>
      </rPr>
      <t xml:space="preserve">2026</t>
    </r>
    <r>
      <rPr>
        <sz val="9"/>
        <color rgb="FF6C7A87"/>
        <rFont val="WenQuanYi Zen Hei"/>
        <family val="2"/>
      </rPr>
      <t xml:space="preserve">年</t>
    </r>
    <r>
      <rPr>
        <sz val="9"/>
        <color rgb="FF6C7A87"/>
        <rFont val="Meiryo"/>
        <family val="0"/>
        <charset val="1"/>
      </rPr>
      <t xml:space="preserve">9</t>
    </r>
    <r>
      <rPr>
        <sz val="9"/>
        <color rgb="FF6C7A87"/>
        <rFont val="WenQuanYi Zen Hei"/>
        <family val="2"/>
      </rPr>
      <t xml:space="preserve">月時点の公開情報に基づく想定値です。</t>
    </r>
  </si>
  <si>
    <t xml:space="preserve">共通の前提</t>
  </si>
  <si>
    <t xml:space="preserve">為替レート</t>
  </si>
  <si>
    <r>
      <rPr>
        <sz val="9"/>
        <color rgb="FF6C7A87"/>
        <rFont val="Meiryo"/>
        <family val="0"/>
        <charset val="1"/>
      </rPr>
      <t xml:space="preserve">AWS</t>
    </r>
    <r>
      <rPr>
        <sz val="9"/>
        <color rgb="FF6C7A87"/>
        <rFont val="WenQuanYi Zen Hei"/>
        <family val="2"/>
      </rPr>
      <t xml:space="preserve">等のドル建て費用の換算に使用します</t>
    </r>
  </si>
  <si>
    <r>
      <rPr>
        <b val="true"/>
        <sz val="10"/>
        <color rgb="FF1A2430"/>
        <rFont val="Meiryo"/>
        <family val="0"/>
        <charset val="1"/>
      </rPr>
      <t xml:space="preserve">1</t>
    </r>
    <r>
      <rPr>
        <b val="true"/>
        <sz val="10"/>
        <color rgb="FF1A2430"/>
        <rFont val="WenQuanYi Zen Hei"/>
        <family val="2"/>
      </rPr>
      <t xml:space="preserve">受講あたりの動画転送量</t>
    </r>
  </si>
  <si>
    <r>
      <rPr>
        <sz val="9"/>
        <color rgb="FF6C7A87"/>
        <rFont val="WenQuanYi Zen Hei"/>
        <family val="2"/>
      </rPr>
      <t xml:space="preserve">学科</t>
    </r>
    <r>
      <rPr>
        <sz val="9"/>
        <color rgb="FF6C7A87"/>
        <rFont val="Meiryo"/>
        <family val="0"/>
        <charset val="1"/>
      </rPr>
      <t xml:space="preserve">4.5</t>
    </r>
    <r>
      <rPr>
        <sz val="9"/>
        <color rgb="FF6C7A87"/>
        <rFont val="WenQuanYi Zen Hei"/>
        <family val="2"/>
      </rPr>
      <t xml:space="preserve">時間・</t>
    </r>
    <r>
      <rPr>
        <sz val="9"/>
        <color rgb="FF6C7A87"/>
        <rFont val="Meiryo"/>
        <family val="0"/>
        <charset val="1"/>
      </rPr>
      <t xml:space="preserve">720p</t>
    </r>
    <r>
      <rPr>
        <sz val="9"/>
        <color rgb="FF6C7A87"/>
        <rFont val="WenQuanYi Zen Hei"/>
        <family val="2"/>
      </rPr>
      <t xml:space="preserve">（約</t>
    </r>
    <r>
      <rPr>
        <sz val="9"/>
        <color rgb="FF6C7A87"/>
        <rFont val="Meiryo"/>
        <family val="0"/>
        <charset val="1"/>
      </rPr>
      <t xml:space="preserve">1.5Mbps</t>
    </r>
    <r>
      <rPr>
        <sz val="9"/>
        <color rgb="FF6C7A87"/>
        <rFont val="WenQuanYi Zen Hei"/>
        <family val="2"/>
      </rPr>
      <t xml:space="preserve">）＋再視聴分を見込んだ値</t>
    </r>
  </si>
  <si>
    <r>
      <rPr>
        <b val="true"/>
        <sz val="10"/>
        <color rgb="FF1A2430"/>
        <rFont val="Meiryo"/>
        <family val="0"/>
        <charset val="1"/>
      </rPr>
      <t xml:space="preserve">1</t>
    </r>
    <r>
      <rPr>
        <b val="true"/>
        <sz val="10"/>
        <color rgb="FF1A2430"/>
        <rFont val="WenQuanYi Zen Hei"/>
        <family val="2"/>
      </rPr>
      <t xml:space="preserve">受講あたりの顔照合回数</t>
    </r>
  </si>
  <si>
    <r>
      <rPr>
        <sz val="9"/>
        <color rgb="FF6C7A87"/>
        <rFont val="WenQuanYi Zen Hei"/>
        <family val="2"/>
      </rPr>
      <t xml:space="preserve">受講開始時＋受講中のランダム照合（</t>
    </r>
    <r>
      <rPr>
        <sz val="9"/>
        <color rgb="FF6C7A87"/>
        <rFont val="Meiryo"/>
        <family val="0"/>
        <charset val="1"/>
      </rPr>
      <t xml:space="preserve">1</t>
    </r>
    <r>
      <rPr>
        <sz val="9"/>
        <color rgb="FF6C7A87"/>
        <rFont val="WenQuanYi Zen Hei"/>
        <family val="2"/>
      </rPr>
      <t xml:space="preserve">時間あたり</t>
    </r>
    <r>
      <rPr>
        <sz val="9"/>
        <color rgb="FF6C7A87"/>
        <rFont val="Meiryo"/>
        <family val="0"/>
        <charset val="1"/>
      </rPr>
      <t xml:space="preserve">3</t>
    </r>
    <r>
      <rPr>
        <sz val="9"/>
        <color rgb="FF6C7A87"/>
        <rFont val="WenQuanYi Zen Hei"/>
        <family val="2"/>
      </rPr>
      <t xml:space="preserve">回）</t>
    </r>
  </si>
  <si>
    <r>
      <rPr>
        <b val="true"/>
        <sz val="10"/>
        <color rgb="FF1A2430"/>
        <rFont val="Meiryo"/>
        <family val="0"/>
        <charset val="1"/>
      </rPr>
      <t xml:space="preserve">1</t>
    </r>
    <r>
      <rPr>
        <b val="true"/>
        <sz val="10"/>
        <color rgb="FF1A2430"/>
        <rFont val="WenQuanYi Zen Hei"/>
        <family val="2"/>
      </rPr>
      <t xml:space="preserve">受講あたりのライブネス判定</t>
    </r>
  </si>
  <si>
    <r>
      <rPr>
        <sz val="9"/>
        <color rgb="FF6C7A87"/>
        <rFont val="WenQuanYi Zen Hei"/>
        <family val="2"/>
      </rPr>
      <t xml:space="preserve">アカウント登録時の</t>
    </r>
    <r>
      <rPr>
        <sz val="9"/>
        <color rgb="FF6C7A87"/>
        <rFont val="Meiryo"/>
        <family val="0"/>
        <charset val="1"/>
      </rPr>
      <t xml:space="preserve">1</t>
    </r>
    <r>
      <rPr>
        <sz val="9"/>
        <color rgb="FF6C7A87"/>
        <rFont val="WenQuanYi Zen Hei"/>
        <family val="2"/>
      </rPr>
      <t xml:space="preserve">回のみ</t>
    </r>
  </si>
  <si>
    <t xml:space="preserve">受講料（決済手数料の算出用）</t>
  </si>
  <si>
    <r>
      <rPr>
        <sz val="9"/>
        <color rgb="FF6C7A87"/>
        <rFont val="WenQuanYi Zen Hei"/>
        <family val="2"/>
      </rPr>
      <t xml:space="preserve">プラン</t>
    </r>
    <r>
      <rPr>
        <sz val="9"/>
        <color rgb="FF6C7A87"/>
        <rFont val="Meiryo"/>
        <family val="0"/>
        <charset val="1"/>
      </rPr>
      <t xml:space="preserve">A</t>
    </r>
    <r>
      <rPr>
        <sz val="9"/>
        <color rgb="FF6C7A87"/>
        <rFont val="WenQuanYi Zen Hei"/>
        <family val="2"/>
      </rPr>
      <t xml:space="preserve">の想定単価。売上連動費の試算に使用します</t>
    </r>
  </si>
  <si>
    <t xml:space="preserve">決済手数料率</t>
  </si>
  <si>
    <t xml:space="preserve">クレジットカード決済の一般的な料率</t>
  </si>
  <si>
    <r>
      <rPr>
        <b val="true"/>
        <sz val="10"/>
        <color rgb="FF1A2430"/>
        <rFont val="Meiryo"/>
        <family val="0"/>
        <charset val="1"/>
      </rPr>
      <t xml:space="preserve">CDN</t>
    </r>
    <r>
      <rPr>
        <b val="true"/>
        <sz val="10"/>
        <color rgb="FF1A2430"/>
        <rFont val="WenQuanYi Zen Hei"/>
        <family val="2"/>
      </rPr>
      <t xml:space="preserve">無料枠</t>
    </r>
  </si>
  <si>
    <r>
      <rPr>
        <sz val="9"/>
        <color rgb="FF6C7A87"/>
        <rFont val="Meiryo"/>
        <family val="0"/>
        <charset val="1"/>
      </rPr>
      <t xml:space="preserve">CloudFront</t>
    </r>
    <r>
      <rPr>
        <sz val="9"/>
        <color rgb="FF6C7A87"/>
        <rFont val="WenQuanYi Zen Hei"/>
        <family val="2"/>
      </rPr>
      <t xml:space="preserve">の永年無料枠。月</t>
    </r>
    <r>
      <rPr>
        <sz val="9"/>
        <color rgb="FF6C7A87"/>
        <rFont val="Meiryo"/>
        <family val="0"/>
        <charset val="1"/>
      </rPr>
      <t xml:space="preserve">1TB</t>
    </r>
    <r>
      <rPr>
        <sz val="9"/>
        <color rgb="FF6C7A87"/>
        <rFont val="WenQuanYi Zen Hei"/>
        <family val="2"/>
      </rPr>
      <t xml:space="preserve">までインターネットへの転送が無料</t>
    </r>
  </si>
  <si>
    <r>
      <rPr>
        <b val="true"/>
        <sz val="10"/>
        <color rgb="FF1B3A57"/>
        <rFont val="Meiryo"/>
        <family val="0"/>
        <charset val="1"/>
      </rPr>
      <t xml:space="preserve">A. </t>
    </r>
    <r>
      <rPr>
        <b val="true"/>
        <sz val="10"/>
        <color rgb="FF1B3A57"/>
        <rFont val="WenQuanYi Zen Hei"/>
        <family val="2"/>
      </rPr>
      <t xml:space="preserve">固定費（受講者数に関係なく毎月発生）</t>
    </r>
  </si>
  <si>
    <t xml:space="preserve">月額</t>
  </si>
  <si>
    <t xml:space="preserve">内容</t>
  </si>
  <si>
    <t xml:space="preserve">提供元</t>
  </si>
  <si>
    <t xml:space="preserve">備考</t>
  </si>
  <si>
    <t xml:space="preserve">監視、障害対応、軽微な改修、受講者からの問い合わせ一次対応</t>
  </si>
  <si>
    <t xml:space="preserve">株式会社スペリオル</t>
  </si>
  <si>
    <t xml:space="preserve">聖建様よりご提示の金額</t>
  </si>
  <si>
    <t xml:space="preserve">アプリケーションサーバー</t>
  </si>
  <si>
    <r>
      <rPr>
        <sz val="9"/>
        <color rgb="FF6C7A87"/>
        <rFont val="Meiryo"/>
        <family val="0"/>
        <charset val="1"/>
      </rPr>
      <t xml:space="preserve">EC2 t3.medium </t>
    </r>
    <r>
      <rPr>
        <sz val="9"/>
        <color rgb="FF6C7A87"/>
        <rFont val="WenQuanYi Zen Hei"/>
        <family val="2"/>
      </rPr>
      <t xml:space="preserve">相当（</t>
    </r>
    <r>
      <rPr>
        <sz val="9"/>
        <color rgb="FF6C7A87"/>
        <rFont val="Meiryo"/>
        <family val="0"/>
        <charset val="1"/>
      </rPr>
      <t xml:space="preserve">2vCPU</t>
    </r>
    <r>
      <rPr>
        <sz val="9"/>
        <color rgb="FF6C7A87"/>
        <rFont val="WenQuanYi Zen Hei"/>
        <family val="2"/>
      </rPr>
      <t xml:space="preserve">／</t>
    </r>
    <r>
      <rPr>
        <sz val="9"/>
        <color rgb="FF6C7A87"/>
        <rFont val="Meiryo"/>
        <family val="0"/>
        <charset val="1"/>
      </rPr>
      <t xml:space="preserve">4GB</t>
    </r>
    <r>
      <rPr>
        <sz val="9"/>
        <color rgb="FF6C7A87"/>
        <rFont val="WenQuanYi Zen Hei"/>
        <family val="2"/>
      </rPr>
      <t xml:space="preserve">）。</t>
    </r>
    <r>
      <rPr>
        <sz val="9"/>
        <color rgb="FF6C7A87"/>
        <rFont val="Meiryo"/>
        <family val="0"/>
        <charset val="1"/>
      </rPr>
      <t xml:space="preserve">Laravel</t>
    </r>
    <r>
      <rPr>
        <sz val="9"/>
        <color rgb="FF6C7A87"/>
        <rFont val="WenQuanYi Zen Hei"/>
        <family val="2"/>
      </rPr>
      <t xml:space="preserve">／</t>
    </r>
    <r>
      <rPr>
        <sz val="9"/>
        <color rgb="FF6C7A87"/>
        <rFont val="Meiryo"/>
        <family val="0"/>
        <charset val="1"/>
      </rPr>
      <t xml:space="preserve">Nginx</t>
    </r>
    <r>
      <rPr>
        <sz val="9"/>
        <color rgb="FF6C7A87"/>
        <rFont val="WenQuanYi Zen Hei"/>
        <family val="2"/>
      </rPr>
      <t xml:space="preserve">／</t>
    </r>
    <r>
      <rPr>
        <sz val="9"/>
        <color rgb="FF6C7A87"/>
        <rFont val="Meiryo"/>
        <family val="0"/>
        <charset val="1"/>
      </rPr>
      <t xml:space="preserve">PHP-FPM</t>
    </r>
  </si>
  <si>
    <t xml:space="preserve">AWS</t>
  </si>
  <si>
    <r>
      <rPr>
        <sz val="9"/>
        <color rgb="FF6C7A87"/>
        <rFont val="Meiryo"/>
        <family val="0"/>
        <charset val="1"/>
      </rPr>
      <t xml:space="preserve">Xserver VPS</t>
    </r>
    <r>
      <rPr>
        <sz val="9"/>
        <color rgb="FF6C7A87"/>
        <rFont val="WenQuanYi Zen Hei"/>
        <family val="2"/>
      </rPr>
      <t xml:space="preserve">なら約</t>
    </r>
    <r>
      <rPr>
        <sz val="9"/>
        <color rgb="FF6C7A87"/>
        <rFont val="Meiryo"/>
        <family val="0"/>
        <charset val="1"/>
      </rPr>
      <t xml:space="preserve">4,000</t>
    </r>
    <r>
      <rPr>
        <sz val="9"/>
        <color rgb="FF6C7A87"/>
        <rFont val="WenQuanYi Zen Hei"/>
        <family val="2"/>
      </rPr>
      <t xml:space="preserve">〜</t>
    </r>
    <r>
      <rPr>
        <sz val="9"/>
        <color rgb="FF6C7A87"/>
        <rFont val="Meiryo"/>
        <family val="0"/>
        <charset val="1"/>
      </rPr>
      <t xml:space="preserve">8,000</t>
    </r>
    <r>
      <rPr>
        <sz val="9"/>
        <color rgb="FF6C7A87"/>
        <rFont val="WenQuanYi Zen Hei"/>
        <family val="2"/>
      </rPr>
      <t xml:space="preserve">円</t>
    </r>
  </si>
  <si>
    <t xml:space="preserve">データベース</t>
  </si>
  <si>
    <r>
      <rPr>
        <sz val="9"/>
        <color rgb="FF6C7A87"/>
        <rFont val="Meiryo"/>
        <family val="0"/>
        <charset val="1"/>
      </rPr>
      <t xml:space="preserve">RDS PostgreSQL db.t3.small </t>
    </r>
    <r>
      <rPr>
        <sz val="9"/>
        <color rgb="FF6C7A87"/>
        <rFont val="WenQuanYi Zen Hei"/>
        <family val="2"/>
      </rPr>
      <t xml:space="preserve">相当。自動バックアップと</t>
    </r>
    <r>
      <rPr>
        <sz val="9"/>
        <color rgb="FF6C7A87"/>
        <rFont val="Meiryo"/>
        <family val="0"/>
        <charset val="1"/>
      </rPr>
      <t xml:space="preserve">PITR</t>
    </r>
    <r>
      <rPr>
        <sz val="9"/>
        <color rgb="FF6C7A87"/>
        <rFont val="WenQuanYi Zen Hei"/>
        <family val="2"/>
      </rPr>
      <t xml:space="preserve">を含む</t>
    </r>
  </si>
  <si>
    <t xml:space="preserve">自前構築なら安いが復旧責任を負う</t>
  </si>
  <si>
    <t xml:space="preserve">キャッシュ・キュー</t>
  </si>
  <si>
    <r>
      <rPr>
        <sz val="9"/>
        <color rgb="FF6C7A87"/>
        <rFont val="Meiryo"/>
        <family val="0"/>
        <charset val="1"/>
      </rPr>
      <t xml:space="preserve">ElastiCache Redis cache.t3.micro </t>
    </r>
    <r>
      <rPr>
        <sz val="9"/>
        <color rgb="FF6C7A87"/>
        <rFont val="WenQuanYi Zen Hei"/>
        <family val="2"/>
      </rPr>
      <t xml:space="preserve">相当。多重視聴の排他制御に使用</t>
    </r>
  </si>
  <si>
    <r>
      <rPr>
        <sz val="9"/>
        <color rgb="FF6C7A87"/>
        <rFont val="Meiryo"/>
        <family val="0"/>
        <charset val="1"/>
      </rPr>
      <t xml:space="preserve">VPS</t>
    </r>
    <r>
      <rPr>
        <sz val="9"/>
        <color rgb="FF6C7A87"/>
        <rFont val="WenQuanYi Zen Hei"/>
        <family val="2"/>
      </rPr>
      <t xml:space="preserve">同居なら</t>
    </r>
    <r>
      <rPr>
        <sz val="9"/>
        <color rgb="FF6C7A87"/>
        <rFont val="Meiryo"/>
        <family val="0"/>
        <charset val="1"/>
      </rPr>
      <t xml:space="preserve">0</t>
    </r>
    <r>
      <rPr>
        <sz val="9"/>
        <color rgb="FF6C7A87"/>
        <rFont val="WenQuanYi Zen Hei"/>
        <family val="2"/>
      </rPr>
      <t xml:space="preserve">円</t>
    </r>
  </si>
  <si>
    <r>
      <rPr>
        <sz val="10"/>
        <color rgb="FF1A2430"/>
        <rFont val="WenQuanYi Zen Hei"/>
        <family val="2"/>
      </rPr>
      <t xml:space="preserve">ロードバランサ・固定</t>
    </r>
    <r>
      <rPr>
        <sz val="10"/>
        <color rgb="FF1A2430"/>
        <rFont val="Meiryo"/>
        <family val="0"/>
        <charset val="1"/>
      </rPr>
      <t xml:space="preserve">IP</t>
    </r>
    <r>
      <rPr>
        <sz val="10"/>
        <color rgb="FF1A2430"/>
        <rFont val="WenQuanYi Zen Hei"/>
        <family val="2"/>
      </rPr>
      <t xml:space="preserve">・その他</t>
    </r>
  </si>
  <si>
    <r>
      <rPr>
        <sz val="9"/>
        <color rgb="FF6C7A87"/>
        <rFont val="Meiryo"/>
        <family val="0"/>
        <charset val="1"/>
      </rPr>
      <t xml:space="preserve">ALB</t>
    </r>
    <r>
      <rPr>
        <sz val="9"/>
        <color rgb="FF6C7A87"/>
        <rFont val="WenQuanYi Zen Hei"/>
        <family val="2"/>
      </rPr>
      <t xml:space="preserve">、</t>
    </r>
    <r>
      <rPr>
        <sz val="9"/>
        <color rgb="FF6C7A87"/>
        <rFont val="Meiryo"/>
        <family val="0"/>
        <charset val="1"/>
      </rPr>
      <t xml:space="preserve">Elastic IP</t>
    </r>
    <r>
      <rPr>
        <sz val="9"/>
        <color rgb="FF6C7A87"/>
        <rFont val="WenQuanYi Zen Hei"/>
        <family val="2"/>
      </rPr>
      <t xml:space="preserve">、</t>
    </r>
    <r>
      <rPr>
        <sz val="9"/>
        <color rgb="FF6C7A87"/>
        <rFont val="Meiryo"/>
        <family val="0"/>
        <charset val="1"/>
      </rPr>
      <t xml:space="preserve">NAT</t>
    </r>
    <r>
      <rPr>
        <sz val="9"/>
        <color rgb="FF6C7A87"/>
        <rFont val="WenQuanYi Zen Hei"/>
        <family val="2"/>
      </rPr>
      <t xml:space="preserve">等</t>
    </r>
  </si>
  <si>
    <r>
      <rPr>
        <sz val="10"/>
        <color rgb="FF1A2430"/>
        <rFont val="WenQuanYi Zen Hei"/>
        <family val="2"/>
      </rPr>
      <t xml:space="preserve">ドメイン・</t>
    </r>
    <r>
      <rPr>
        <sz val="10"/>
        <color rgb="FF1A2430"/>
        <rFont val="Meiryo"/>
        <family val="0"/>
        <charset val="1"/>
      </rPr>
      <t xml:space="preserve">SSL</t>
    </r>
  </si>
  <si>
    <r>
      <rPr>
        <sz val="9"/>
        <color rgb="FF6C7A87"/>
        <rFont val="WenQuanYi Zen Hei"/>
        <family val="2"/>
      </rPr>
      <t xml:space="preserve">年間約</t>
    </r>
    <r>
      <rPr>
        <sz val="9"/>
        <color rgb="FF6C7A87"/>
        <rFont val="Meiryo"/>
        <family val="0"/>
        <charset val="1"/>
      </rPr>
      <t xml:space="preserve">2,000</t>
    </r>
    <r>
      <rPr>
        <sz val="9"/>
        <color rgb="FF6C7A87"/>
        <rFont val="WenQuanYi Zen Hei"/>
        <family val="2"/>
      </rPr>
      <t xml:space="preserve">円を月割。</t>
    </r>
    <r>
      <rPr>
        <sz val="9"/>
        <color rgb="FF6C7A87"/>
        <rFont val="Meiryo"/>
        <family val="0"/>
        <charset val="1"/>
      </rPr>
      <t xml:space="preserve">SSL</t>
    </r>
    <r>
      <rPr>
        <sz val="9"/>
        <color rgb="FF6C7A87"/>
        <rFont val="WenQuanYi Zen Hei"/>
        <family val="2"/>
      </rPr>
      <t xml:space="preserve">は</t>
    </r>
    <r>
      <rPr>
        <sz val="9"/>
        <color rgb="FF6C7A87"/>
        <rFont val="Meiryo"/>
        <family val="0"/>
        <charset val="1"/>
      </rPr>
      <t xml:space="preserve">ACM</t>
    </r>
    <r>
      <rPr>
        <sz val="9"/>
        <color rgb="FF6C7A87"/>
        <rFont val="WenQuanYi Zen Hei"/>
        <family val="2"/>
      </rPr>
      <t xml:space="preserve">で無料</t>
    </r>
  </si>
  <si>
    <r>
      <rPr>
        <sz val="9"/>
        <color rgb="FF6C7A87"/>
        <rFont val="Meiryo"/>
        <family val="0"/>
        <charset val="1"/>
      </rPr>
      <t xml:space="preserve">AWS</t>
    </r>
    <r>
      <rPr>
        <sz val="9"/>
        <color rgb="FF6C7A87"/>
        <rFont val="WenQuanYi Zen Hei"/>
        <family val="2"/>
      </rPr>
      <t xml:space="preserve">／レジストラ</t>
    </r>
  </si>
  <si>
    <t xml:space="preserve">監視・エラー追跡</t>
  </si>
  <si>
    <r>
      <rPr>
        <sz val="9"/>
        <color rgb="FF6C7A87"/>
        <rFont val="Meiryo"/>
        <family val="0"/>
        <charset val="1"/>
      </rPr>
      <t xml:space="preserve">Sentry</t>
    </r>
    <r>
      <rPr>
        <sz val="9"/>
        <color rgb="FF6C7A87"/>
        <rFont val="WenQuanYi Zen Hei"/>
        <family val="2"/>
      </rPr>
      <t xml:space="preserve">等。障害と不正兆候の検知</t>
    </r>
  </si>
  <si>
    <r>
      <rPr>
        <sz val="9"/>
        <color rgb="FF6C7A87"/>
        <rFont val="WenQuanYi Zen Hei"/>
        <family val="2"/>
      </rPr>
      <t xml:space="preserve">外部</t>
    </r>
    <r>
      <rPr>
        <sz val="9"/>
        <color rgb="FF6C7A87"/>
        <rFont val="Meiryo"/>
        <family val="0"/>
        <charset val="1"/>
      </rPr>
      <t xml:space="preserve">SaaS</t>
    </r>
  </si>
  <si>
    <r>
      <rPr>
        <sz val="9"/>
        <color rgb="FF6C7A87"/>
        <rFont val="WenQuanYi Zen Hei"/>
        <family val="2"/>
      </rPr>
      <t xml:space="preserve">無料枠から開始すれば当面</t>
    </r>
    <r>
      <rPr>
        <sz val="9"/>
        <color rgb="FF6C7A87"/>
        <rFont val="Meiryo"/>
        <family val="0"/>
        <charset val="1"/>
      </rPr>
      <t xml:space="preserve">0</t>
    </r>
    <r>
      <rPr>
        <sz val="9"/>
        <color rgb="FF6C7A87"/>
        <rFont val="WenQuanYi Zen Hei"/>
        <family val="2"/>
      </rPr>
      <t xml:space="preserve">円</t>
    </r>
  </si>
  <si>
    <t xml:space="preserve">バックアップ保管</t>
  </si>
  <si>
    <r>
      <rPr>
        <sz val="9"/>
        <color rgb="FF6C7A87"/>
        <rFont val="Meiryo"/>
        <family val="0"/>
        <charset val="1"/>
      </rPr>
      <t xml:space="preserve">S3</t>
    </r>
    <r>
      <rPr>
        <sz val="9"/>
        <color rgb="FF6C7A87"/>
        <rFont val="WenQuanYi Zen Hei"/>
        <family val="2"/>
      </rPr>
      <t xml:space="preserve">標準〜低頻度アクセス。</t>
    </r>
    <r>
      <rPr>
        <sz val="9"/>
        <color rgb="FF6C7A87"/>
        <rFont val="Meiryo"/>
        <family val="0"/>
        <charset val="1"/>
      </rPr>
      <t xml:space="preserve">DB</t>
    </r>
    <r>
      <rPr>
        <sz val="9"/>
        <color rgb="FF6C7A87"/>
        <rFont val="WenQuanYi Zen Hei"/>
        <family val="2"/>
      </rPr>
      <t xml:space="preserve">スナップショットと記録の長期保存</t>
    </r>
  </si>
  <si>
    <r>
      <rPr>
        <sz val="9"/>
        <color rgb="FF6C7A87"/>
        <rFont val="Meiryo"/>
        <family val="0"/>
        <charset val="1"/>
      </rPr>
      <t xml:space="preserve">3</t>
    </r>
    <r>
      <rPr>
        <sz val="9"/>
        <color rgb="FF6C7A87"/>
        <rFont val="WenQuanYi Zen Hei"/>
        <family val="2"/>
      </rPr>
      <t xml:space="preserve">年保存義務に対応</t>
    </r>
  </si>
  <si>
    <t xml:space="preserve">アバター・音声合成サービス</t>
  </si>
  <si>
    <t xml:space="preserve">教材を継続制作する期間のみ。制作を終えれば解約可能</t>
  </si>
  <si>
    <t xml:space="preserve">初年度のみ想定</t>
  </si>
  <si>
    <r>
      <rPr>
        <b val="true"/>
        <sz val="10"/>
        <color rgb="FF1B3A57"/>
        <rFont val="Meiryo"/>
        <family val="0"/>
        <charset val="1"/>
      </rPr>
      <t xml:space="preserve">B. </t>
    </r>
    <r>
      <rPr>
        <b val="true"/>
        <sz val="10"/>
        <color rgb="FF1B3A57"/>
        <rFont val="WenQuanYi Zen Hei"/>
        <family val="2"/>
      </rPr>
      <t xml:space="preserve">変動費の単価（受講者数に比例）</t>
    </r>
  </si>
  <si>
    <t xml:space="preserve">単価</t>
  </si>
  <si>
    <t xml:space="preserve">単位</t>
  </si>
  <si>
    <t xml:space="preserve">算出根拠</t>
  </si>
  <si>
    <r>
      <rPr>
        <sz val="9"/>
        <color rgb="FF6C7A87"/>
        <rFont val="WenQuanYi Zen Hei"/>
        <family val="2"/>
      </rPr>
      <t xml:space="preserve">円／</t>
    </r>
    <r>
      <rPr>
        <sz val="9"/>
        <color rgb="FF6C7A87"/>
        <rFont val="Meiryo"/>
        <family val="0"/>
        <charset val="1"/>
      </rPr>
      <t xml:space="preserve">GB</t>
    </r>
  </si>
  <si>
    <r>
      <rPr>
        <sz val="9"/>
        <color rgb="FF6C7A87"/>
        <rFont val="Meiryo"/>
        <family val="0"/>
        <charset val="1"/>
      </rPr>
      <t xml:space="preserve">CloudFront </t>
    </r>
    <r>
      <rPr>
        <sz val="9"/>
        <color rgb="FF6C7A87"/>
        <rFont val="WenQuanYi Zen Hei"/>
        <family val="2"/>
      </rPr>
      <t xml:space="preserve">日本 </t>
    </r>
    <r>
      <rPr>
        <sz val="9"/>
        <color rgb="FF6C7A87"/>
        <rFont val="Meiryo"/>
        <family val="0"/>
        <charset val="1"/>
      </rPr>
      <t xml:space="preserve">$0.114</t>
    </r>
    <r>
      <rPr>
        <sz val="9"/>
        <color rgb="FF6C7A87"/>
        <rFont val="WenQuanYi Zen Hei"/>
        <family val="2"/>
      </rPr>
      <t xml:space="preserve">／</t>
    </r>
    <r>
      <rPr>
        <sz val="9"/>
        <color rgb="FF6C7A87"/>
        <rFont val="Meiryo"/>
        <family val="0"/>
        <charset val="1"/>
      </rPr>
      <t xml:space="preserve">GB</t>
    </r>
  </si>
  <si>
    <r>
      <rPr>
        <sz val="9"/>
        <color rgb="FF6C7A87"/>
        <rFont val="WenQuanYi Zen Hei"/>
        <family val="2"/>
      </rPr>
      <t xml:space="preserve">月</t>
    </r>
    <r>
      <rPr>
        <sz val="9"/>
        <color rgb="FF6C7A87"/>
        <rFont val="Meiryo"/>
        <family val="0"/>
        <charset val="1"/>
      </rPr>
      <t xml:space="preserve">1TB</t>
    </r>
    <r>
      <rPr>
        <sz val="9"/>
        <color rgb="FF6C7A87"/>
        <rFont val="WenQuanYi Zen Hei"/>
        <family val="2"/>
      </rPr>
      <t xml:space="preserve">まで無料枠あり</t>
    </r>
  </si>
  <si>
    <r>
      <rPr>
        <sz val="9"/>
        <color rgb="FF6C7A87"/>
        <rFont val="WenQuanYi Zen Hei"/>
        <family val="2"/>
      </rPr>
      <t xml:space="preserve">円／</t>
    </r>
    <r>
      <rPr>
        <sz val="9"/>
        <color rgb="FF6C7A87"/>
        <rFont val="Meiryo"/>
        <family val="0"/>
        <charset val="1"/>
      </rPr>
      <t xml:space="preserve">GB</t>
    </r>
    <r>
      <rPr>
        <sz val="9"/>
        <color rgb="FF6C7A87"/>
        <rFont val="WenQuanYi Zen Hei"/>
        <family val="2"/>
      </rPr>
      <t xml:space="preserve">／月</t>
    </r>
  </si>
  <si>
    <r>
      <rPr>
        <sz val="9"/>
        <color rgb="FF6C7A87"/>
        <rFont val="Meiryo"/>
        <family val="0"/>
        <charset val="1"/>
      </rPr>
      <t xml:space="preserve">S3</t>
    </r>
    <r>
      <rPr>
        <sz val="9"/>
        <color rgb="FF6C7A87"/>
        <rFont val="WenQuanYi Zen Hei"/>
        <family val="2"/>
      </rPr>
      <t xml:space="preserve">標準 </t>
    </r>
    <r>
      <rPr>
        <sz val="9"/>
        <color rgb="FF6C7A87"/>
        <rFont val="Meiryo"/>
        <family val="0"/>
        <charset val="1"/>
      </rPr>
      <t xml:space="preserve">$0.025</t>
    </r>
    <r>
      <rPr>
        <sz val="9"/>
        <color rgb="FF6C7A87"/>
        <rFont val="WenQuanYi Zen Hei"/>
        <family val="2"/>
      </rPr>
      <t xml:space="preserve">／</t>
    </r>
    <r>
      <rPr>
        <sz val="9"/>
        <color rgb="FF6C7A87"/>
        <rFont val="Meiryo"/>
        <family val="0"/>
        <charset val="1"/>
      </rPr>
      <t xml:space="preserve">GB</t>
    </r>
    <r>
      <rPr>
        <sz val="9"/>
        <color rgb="FF6C7A87"/>
        <rFont val="WenQuanYi Zen Hei"/>
        <family val="2"/>
      </rPr>
      <t xml:space="preserve">／月</t>
    </r>
  </si>
  <si>
    <r>
      <rPr>
        <sz val="9"/>
        <color rgb="FF6C7A87"/>
        <rFont val="WenQuanYi Zen Hei"/>
        <family val="2"/>
      </rPr>
      <t xml:space="preserve">動画</t>
    </r>
    <r>
      <rPr>
        <sz val="9"/>
        <color rgb="FF6C7A87"/>
        <rFont val="Meiryo"/>
        <family val="0"/>
        <charset val="1"/>
      </rPr>
      <t xml:space="preserve">58</t>
    </r>
    <r>
      <rPr>
        <sz val="9"/>
        <color rgb="FF6C7A87"/>
        <rFont val="WenQuanYi Zen Hei"/>
        <family val="2"/>
      </rPr>
      <t xml:space="preserve">時間分＋本人確認画像</t>
    </r>
  </si>
  <si>
    <t xml:space="preserve">円／回</t>
  </si>
  <si>
    <r>
      <rPr>
        <sz val="9"/>
        <color rgb="FF6C7A87"/>
        <rFont val="Meiryo"/>
        <family val="0"/>
        <charset val="1"/>
      </rPr>
      <t xml:space="preserve">Rekognition CompareFaces $0.001</t>
    </r>
    <r>
      <rPr>
        <sz val="9"/>
        <color rgb="FF6C7A87"/>
        <rFont val="WenQuanYi Zen Hei"/>
        <family val="2"/>
      </rPr>
      <t xml:space="preserve">／画像</t>
    </r>
  </si>
  <si>
    <r>
      <rPr>
        <sz val="9"/>
        <color rgb="FF6C7A87"/>
        <rFont val="WenQuanYi Zen Hei"/>
        <family val="2"/>
      </rPr>
      <t xml:space="preserve">受講者</t>
    </r>
    <r>
      <rPr>
        <sz val="9"/>
        <color rgb="FF6C7A87"/>
        <rFont val="Meiryo"/>
        <family val="0"/>
        <charset val="1"/>
      </rPr>
      <t xml:space="preserve">1</t>
    </r>
    <r>
      <rPr>
        <sz val="9"/>
        <color rgb="FF6C7A87"/>
        <rFont val="WenQuanYi Zen Hei"/>
        <family val="2"/>
      </rPr>
      <t xml:space="preserve">人あたり</t>
    </r>
    <r>
      <rPr>
        <sz val="9"/>
        <color rgb="FF6C7A87"/>
        <rFont val="Meiryo"/>
        <family val="0"/>
        <charset val="1"/>
      </rPr>
      <t xml:space="preserve">22</t>
    </r>
    <r>
      <rPr>
        <sz val="9"/>
        <color rgb="FF6C7A87"/>
        <rFont val="WenQuanYi Zen Hei"/>
        <family val="2"/>
      </rPr>
      <t xml:space="preserve">回</t>
    </r>
  </si>
  <si>
    <r>
      <rPr>
        <sz val="9"/>
        <color rgb="FF6C7A87"/>
        <rFont val="Meiryo"/>
        <family val="0"/>
        <charset val="1"/>
      </rPr>
      <t xml:space="preserve">Rekognition Face Liveness $0.0195</t>
    </r>
    <r>
      <rPr>
        <sz val="9"/>
        <color rgb="FF6C7A87"/>
        <rFont val="WenQuanYi Zen Hei"/>
        <family val="2"/>
      </rPr>
      <t xml:space="preserve">／回</t>
    </r>
  </si>
  <si>
    <r>
      <rPr>
        <sz val="9"/>
        <color rgb="FF6C7A87"/>
        <rFont val="WenQuanYi Zen Hei"/>
        <family val="2"/>
      </rPr>
      <t xml:space="preserve">受講者</t>
    </r>
    <r>
      <rPr>
        <sz val="9"/>
        <color rgb="FF6C7A87"/>
        <rFont val="Meiryo"/>
        <family val="0"/>
        <charset val="1"/>
      </rPr>
      <t xml:space="preserve">1</t>
    </r>
    <r>
      <rPr>
        <sz val="9"/>
        <color rgb="FF6C7A87"/>
        <rFont val="WenQuanYi Zen Hei"/>
        <family val="2"/>
      </rPr>
      <t xml:space="preserve">人あたり</t>
    </r>
    <r>
      <rPr>
        <sz val="9"/>
        <color rgb="FF6C7A87"/>
        <rFont val="Meiryo"/>
        <family val="0"/>
        <charset val="1"/>
      </rPr>
      <t xml:space="preserve">1</t>
    </r>
    <r>
      <rPr>
        <sz val="9"/>
        <color rgb="FF6C7A87"/>
        <rFont val="WenQuanYi Zen Hei"/>
        <family val="2"/>
      </rPr>
      <t xml:space="preserve">回</t>
    </r>
  </si>
  <si>
    <t xml:space="preserve">円／通</t>
  </si>
  <si>
    <r>
      <rPr>
        <sz val="9"/>
        <color rgb="FF6C7A87"/>
        <rFont val="Meiryo"/>
        <family val="0"/>
        <charset val="1"/>
      </rPr>
      <t xml:space="preserve">SES</t>
    </r>
    <r>
      <rPr>
        <sz val="9"/>
        <color rgb="FF6C7A87"/>
        <rFont val="WenQuanYi Zen Hei"/>
        <family val="2"/>
      </rPr>
      <t xml:space="preserve">等。</t>
    </r>
    <r>
      <rPr>
        <sz val="9"/>
        <color rgb="FF6C7A87"/>
        <rFont val="Meiryo"/>
        <family val="0"/>
        <charset val="1"/>
      </rPr>
      <t xml:space="preserve">1</t>
    </r>
    <r>
      <rPr>
        <sz val="9"/>
        <color rgb="FF6C7A87"/>
        <rFont val="WenQuanYi Zen Hei"/>
        <family val="2"/>
      </rPr>
      <t xml:space="preserve">人あたり約</t>
    </r>
    <r>
      <rPr>
        <sz val="9"/>
        <color rgb="FF6C7A87"/>
        <rFont val="Meiryo"/>
        <family val="0"/>
        <charset val="1"/>
      </rPr>
      <t xml:space="preserve">5</t>
    </r>
    <r>
      <rPr>
        <sz val="9"/>
        <color rgb="FF6C7A87"/>
        <rFont val="WenQuanYi Zen Hei"/>
        <family val="2"/>
      </rPr>
      <t xml:space="preserve">通</t>
    </r>
  </si>
  <si>
    <t xml:space="preserve">ほぼ無視できる水準</t>
  </si>
  <si>
    <t xml:space="preserve">■ この明細の考え方</t>
  </si>
  <si>
    <r>
      <rPr>
        <sz val="9.5"/>
        <color rgb="FF6C7A87"/>
        <rFont val="WenQuanYi Zen Hei"/>
        <family val="2"/>
      </rPr>
      <t xml:space="preserve">・固定費は、受講者が</t>
    </r>
    <r>
      <rPr>
        <sz val="9.5"/>
        <color rgb="FF6C7A87"/>
        <rFont val="Meiryo"/>
        <family val="0"/>
        <charset val="1"/>
      </rPr>
      <t xml:space="preserve">0</t>
    </r>
    <r>
      <rPr>
        <sz val="9.5"/>
        <color rgb="FF6C7A87"/>
        <rFont val="WenQuanYi Zen Hei"/>
        <family val="2"/>
      </rPr>
      <t xml:space="preserve">人でも毎月発生します。事業の損益分岐を決めるのはこの金額です。</t>
    </r>
  </si>
  <si>
    <t xml:space="preserve">・変動費は受講者数に比例します。受講料に含めて回収する性質の費用です。</t>
  </si>
  <si>
    <r>
      <rPr>
        <sz val="9.5"/>
        <color rgb="FF6C7A87"/>
        <rFont val="WenQuanYi Zen Hei"/>
        <family val="2"/>
      </rPr>
      <t xml:space="preserve">・決済手数料は売上に比例するため、別枠（シート</t>
    </r>
    <r>
      <rPr>
        <sz val="9.5"/>
        <color rgb="FF6C7A87"/>
        <rFont val="Meiryo"/>
        <family val="0"/>
        <charset val="1"/>
      </rPr>
      <t xml:space="preserve">01</t>
    </r>
    <r>
      <rPr>
        <sz val="9.5"/>
        <color rgb="FF6C7A87"/>
        <rFont val="WenQuanYi Zen Hei"/>
        <family val="2"/>
      </rPr>
      <t xml:space="preserve">の </t>
    </r>
    <r>
      <rPr>
        <sz val="9.5"/>
        <color rgb="FF6C7A87"/>
        <rFont val="Meiryo"/>
        <family val="0"/>
        <charset val="1"/>
      </rPr>
      <t xml:space="preserve">C</t>
    </r>
    <r>
      <rPr>
        <sz val="9.5"/>
        <color rgb="FF6C7A87"/>
        <rFont val="WenQuanYi Zen Hei"/>
        <family val="2"/>
      </rPr>
      <t xml:space="preserve">欄）で表示しています。</t>
    </r>
  </si>
  <si>
    <t xml:space="preserve">■ 出典と注意</t>
  </si>
  <si>
    <r>
      <rPr>
        <sz val="9.5"/>
        <color rgb="FF6C7A87"/>
        <rFont val="WenQuanYi Zen Hei"/>
        <family val="2"/>
      </rPr>
      <t xml:space="preserve">・</t>
    </r>
    <r>
      <rPr>
        <sz val="9.5"/>
        <color rgb="FF6C7A87"/>
        <rFont val="Meiryo"/>
        <family val="0"/>
        <charset val="1"/>
      </rPr>
      <t xml:space="preserve">AWS</t>
    </r>
    <r>
      <rPr>
        <sz val="9.5"/>
        <color rgb="FF6C7A87"/>
        <rFont val="WenQuanYi Zen Hei"/>
        <family val="2"/>
      </rPr>
      <t xml:space="preserve">の単価は</t>
    </r>
    <r>
      <rPr>
        <sz val="9.5"/>
        <color rgb="FF6C7A87"/>
        <rFont val="Meiryo"/>
        <family val="0"/>
        <charset val="1"/>
      </rPr>
      <t xml:space="preserve">2026</t>
    </r>
    <r>
      <rPr>
        <sz val="9.5"/>
        <color rgb="FF6C7A87"/>
        <rFont val="WenQuanYi Zen Hei"/>
        <family val="2"/>
      </rPr>
      <t xml:space="preserve">年</t>
    </r>
    <r>
      <rPr>
        <sz val="9.5"/>
        <color rgb="FF6C7A87"/>
        <rFont val="Meiryo"/>
        <family val="0"/>
        <charset val="1"/>
      </rPr>
      <t xml:space="preserve">9</t>
    </r>
    <r>
      <rPr>
        <sz val="9.5"/>
        <color rgb="FF6C7A87"/>
        <rFont val="WenQuanYi Zen Hei"/>
        <family val="2"/>
      </rPr>
      <t xml:space="preserve">月時点の公開情報に基づく想定です。実際の請求はリージョン・構成・使用量で変動します。</t>
    </r>
  </si>
  <si>
    <r>
      <rPr>
        <sz val="9.5"/>
        <color rgb="FF6C7A87"/>
        <rFont val="WenQuanYi Zen Hei"/>
        <family val="2"/>
      </rPr>
      <t xml:space="preserve">・</t>
    </r>
    <r>
      <rPr>
        <sz val="9.5"/>
        <color rgb="FF6C7A87"/>
        <rFont val="Meiryo"/>
        <family val="0"/>
        <charset val="1"/>
      </rPr>
      <t xml:space="preserve">CloudFront</t>
    </r>
    <r>
      <rPr>
        <sz val="9.5"/>
        <color rgb="FF6C7A87"/>
        <rFont val="WenQuanYi Zen Hei"/>
        <family val="2"/>
      </rPr>
      <t xml:space="preserve">には月</t>
    </r>
    <r>
      <rPr>
        <sz val="9.5"/>
        <color rgb="FF6C7A87"/>
        <rFont val="Meiryo"/>
        <family val="0"/>
        <charset val="1"/>
      </rPr>
      <t xml:space="preserve">1TB</t>
    </r>
    <r>
      <rPr>
        <sz val="9.5"/>
        <color rgb="FF6C7A87"/>
        <rFont val="WenQuanYi Zen Hei"/>
        <family val="2"/>
      </rPr>
      <t xml:space="preserve">の永年無料枠があります。立ち上げ期の配信費はほぼ発生しません。</t>
    </r>
  </si>
  <si>
    <r>
      <rPr>
        <sz val="9.5"/>
        <color rgb="FF6C7A87"/>
        <rFont val="WenQuanYi Zen Hei"/>
        <family val="2"/>
      </rPr>
      <t xml:space="preserve">・正式なご提示の前に、実際の構成で</t>
    </r>
    <r>
      <rPr>
        <sz val="9.5"/>
        <color rgb="FF6C7A87"/>
        <rFont val="Meiryo"/>
        <family val="0"/>
        <charset val="1"/>
      </rPr>
      <t xml:space="preserve">AWS Pricing Calculator</t>
    </r>
    <r>
      <rPr>
        <sz val="9.5"/>
        <color rgb="FF6C7A87"/>
        <rFont val="WenQuanYi Zen Hei"/>
        <family val="2"/>
      </rPr>
      <t xml:space="preserve">による試算をお勧めします。</t>
    </r>
  </si>
  <si>
    <t xml:space="preserve">サーバー構成の比較</t>
  </si>
  <si>
    <r>
      <rPr>
        <sz val="9"/>
        <color rgb="FF6C7A87"/>
        <rFont val="WenQuanYi Zen Hei"/>
        <family val="2"/>
      </rPr>
      <t xml:space="preserve">配信システム基本設計書 </t>
    </r>
    <r>
      <rPr>
        <sz val="9"/>
        <color rgb="FF6C7A87"/>
        <rFont val="Meiryo"/>
        <family val="0"/>
        <charset val="1"/>
      </rPr>
      <t xml:space="preserve">1.1 </t>
    </r>
    <r>
      <rPr>
        <sz val="9"/>
        <color rgb="FF6C7A87"/>
        <rFont val="WenQuanYi Zen Hei"/>
        <family val="2"/>
      </rPr>
      <t xml:space="preserve">が求める前提（</t>
    </r>
    <r>
      <rPr>
        <sz val="9"/>
        <color rgb="FF6C7A87"/>
        <rFont val="Meiryo"/>
        <family val="0"/>
        <charset val="1"/>
      </rPr>
      <t xml:space="preserve">PHP 8.3</t>
    </r>
    <r>
      <rPr>
        <sz val="9"/>
        <color rgb="FF6C7A87"/>
        <rFont val="WenQuanYi Zen Hei"/>
        <family val="2"/>
      </rPr>
      <t xml:space="preserve">／</t>
    </r>
    <r>
      <rPr>
        <sz val="9"/>
        <color rgb="FF6C7A87"/>
        <rFont val="Meiryo"/>
        <family val="0"/>
        <charset val="1"/>
      </rPr>
      <t xml:space="preserve">Laravel</t>
    </r>
    <r>
      <rPr>
        <sz val="9"/>
        <color rgb="FF6C7A87"/>
        <rFont val="WenQuanYi Zen Hei"/>
        <family val="2"/>
      </rPr>
      <t xml:space="preserve">／</t>
    </r>
    <r>
      <rPr>
        <sz val="9"/>
        <color rgb="FF6C7A87"/>
        <rFont val="Meiryo"/>
        <family val="0"/>
        <charset val="1"/>
      </rPr>
      <t xml:space="preserve">PostgreSQL</t>
    </r>
    <r>
      <rPr>
        <sz val="9"/>
        <color rgb="FF6C7A87"/>
        <rFont val="WenQuanYi Zen Hei"/>
        <family val="2"/>
      </rPr>
      <t xml:space="preserve">／</t>
    </r>
    <r>
      <rPr>
        <sz val="9"/>
        <color rgb="FF6C7A87"/>
        <rFont val="Meiryo"/>
        <family val="0"/>
        <charset val="1"/>
      </rPr>
      <t xml:space="preserve">Redis</t>
    </r>
    <r>
      <rPr>
        <sz val="9"/>
        <color rgb="FF6C7A87"/>
        <rFont val="WenQuanYi Zen Hei"/>
        <family val="2"/>
      </rPr>
      <t xml:space="preserve">／</t>
    </r>
    <r>
      <rPr>
        <sz val="9"/>
        <color rgb="FF6C7A87"/>
        <rFont val="Meiryo"/>
        <family val="0"/>
        <charset val="1"/>
      </rPr>
      <t xml:space="preserve">HLS</t>
    </r>
    <r>
      <rPr>
        <sz val="9"/>
        <color rgb="FF6C7A87"/>
        <rFont val="WenQuanYi Zen Hei"/>
        <family val="2"/>
      </rPr>
      <t xml:space="preserve">／</t>
    </r>
    <r>
      <rPr>
        <sz val="9"/>
        <color rgb="FF6C7A87"/>
        <rFont val="Meiryo"/>
        <family val="0"/>
        <charset val="1"/>
      </rPr>
      <t xml:space="preserve">FFmpeg</t>
    </r>
    <r>
      <rPr>
        <sz val="9"/>
        <color rgb="FF6C7A87"/>
        <rFont val="WenQuanYi Zen Hei"/>
        <family val="2"/>
      </rPr>
      <t xml:space="preserve">／常駐ワーカー）に照らした評価です。</t>
    </r>
  </si>
  <si>
    <t xml:space="preserve">評価項目</t>
  </si>
  <si>
    <t xml:space="preserve">エックスサーバー（共用）</t>
  </si>
  <si>
    <t xml:space="preserve">Xserver VPS</t>
  </si>
  <si>
    <r>
      <rPr>
        <b val="true"/>
        <sz val="9.5"/>
        <color rgb="FFFFFFFF"/>
        <rFont val="Meiryo"/>
        <family val="0"/>
        <charset val="1"/>
      </rPr>
      <t xml:space="preserve">AWS</t>
    </r>
    <r>
      <rPr>
        <b val="true"/>
        <sz val="9.5"/>
        <color rgb="FFFFFFFF"/>
        <rFont val="WenQuanYi Zen Hei"/>
        <family val="2"/>
      </rPr>
      <t xml:space="preserve">（推奨）</t>
    </r>
  </si>
  <si>
    <t xml:space="preserve">月額の目安</t>
  </si>
  <si>
    <r>
      <rPr>
        <sz val="9.5"/>
        <color rgb="FF1A2430"/>
        <rFont val="Meiryo"/>
        <family val="0"/>
        <charset val="1"/>
      </rPr>
      <t xml:space="preserve">1,100</t>
    </r>
    <r>
      <rPr>
        <sz val="9.5"/>
        <color rgb="FF1A2430"/>
        <rFont val="WenQuanYi Zen Hei"/>
        <family val="2"/>
      </rPr>
      <t xml:space="preserve">円程度</t>
    </r>
  </si>
  <si>
    <r>
      <rPr>
        <sz val="9.5"/>
        <color rgb="FF1A2430"/>
        <rFont val="Meiryo"/>
        <family val="0"/>
        <charset val="1"/>
      </rPr>
      <t xml:space="preserve">4,000</t>
    </r>
    <r>
      <rPr>
        <sz val="9.5"/>
        <color rgb="FF1A2430"/>
        <rFont val="WenQuanYi Zen Hei"/>
        <family val="2"/>
      </rPr>
      <t xml:space="preserve">〜</t>
    </r>
    <r>
      <rPr>
        <sz val="9.5"/>
        <color rgb="FF1A2430"/>
        <rFont val="Meiryo"/>
        <family val="0"/>
        <charset val="1"/>
      </rPr>
      <t xml:space="preserve">10,000</t>
    </r>
    <r>
      <rPr>
        <sz val="9.5"/>
        <color rgb="FF1A2430"/>
        <rFont val="WenQuanYi Zen Hei"/>
        <family val="2"/>
      </rPr>
      <t xml:space="preserve">円程度
（</t>
    </r>
    <r>
      <rPr>
        <sz val="9.5"/>
        <color rgb="FF1A2430"/>
        <rFont val="Meiryo"/>
        <family val="0"/>
        <charset val="1"/>
      </rPr>
      <t xml:space="preserve">2026</t>
    </r>
    <r>
      <rPr>
        <sz val="9.5"/>
        <color rgb="FF1A2430"/>
        <rFont val="WenQuanYi Zen Hei"/>
        <family val="2"/>
      </rPr>
      <t xml:space="preserve">年</t>
    </r>
    <r>
      <rPr>
        <sz val="9.5"/>
        <color rgb="FF1A2430"/>
        <rFont val="Meiryo"/>
        <family val="0"/>
        <charset val="1"/>
      </rPr>
      <t xml:space="preserve">9</t>
    </r>
    <r>
      <rPr>
        <sz val="9.5"/>
        <color rgb="FF1A2430"/>
        <rFont val="WenQuanYi Zen Hei"/>
        <family val="2"/>
      </rPr>
      <t xml:space="preserve">月</t>
    </r>
    <r>
      <rPr>
        <sz val="9.5"/>
        <color rgb="FF1A2430"/>
        <rFont val="Meiryo"/>
        <family val="0"/>
        <charset val="1"/>
      </rPr>
      <t xml:space="preserve">1</t>
    </r>
    <r>
      <rPr>
        <sz val="9.5"/>
        <color rgb="FF1A2430"/>
        <rFont val="WenQuanYi Zen Hei"/>
        <family val="2"/>
      </rPr>
      <t xml:space="preserve">日 改定後・要確認）</t>
    </r>
  </si>
  <si>
    <r>
      <rPr>
        <sz val="9.5"/>
        <color rgb="FF1A2430"/>
        <rFont val="Meiryo"/>
        <family val="0"/>
        <charset val="1"/>
      </rPr>
      <t xml:space="preserve">15,000</t>
    </r>
    <r>
      <rPr>
        <sz val="9.5"/>
        <color rgb="FF1A2430"/>
        <rFont val="WenQuanYi Zen Hei"/>
        <family val="2"/>
      </rPr>
      <t xml:space="preserve">〜</t>
    </r>
    <r>
      <rPr>
        <sz val="9.5"/>
        <color rgb="FF1A2430"/>
        <rFont val="Meiryo"/>
        <family val="0"/>
        <charset val="1"/>
      </rPr>
      <t xml:space="preserve">20,000</t>
    </r>
    <r>
      <rPr>
        <sz val="9.5"/>
        <color rgb="FF1A2430"/>
        <rFont val="WenQuanYi Zen Hei"/>
        <family val="2"/>
      </rPr>
      <t xml:space="preserve">円程度</t>
    </r>
  </si>
  <si>
    <t xml:space="preserve">PostgreSQL</t>
  </si>
  <si>
    <r>
      <rPr>
        <sz val="9.5"/>
        <color rgb="FF9E2F27"/>
        <rFont val="WenQuanYi Zen Hei"/>
        <family val="2"/>
      </rPr>
      <t xml:space="preserve">✕ 非対応（</t>
    </r>
    <r>
      <rPr>
        <sz val="9.5"/>
        <color rgb="FF9E2F27"/>
        <rFont val="Meiryo"/>
        <family val="0"/>
        <charset val="1"/>
      </rPr>
      <t xml:space="preserve">MySQL</t>
    </r>
    <r>
      <rPr>
        <sz val="9.5"/>
        <color rgb="FF9E2F27"/>
        <rFont val="WenQuanYi Zen Hei"/>
        <family val="2"/>
      </rPr>
      <t xml:space="preserve">系のみ）</t>
    </r>
  </si>
  <si>
    <t xml:space="preserve">○ 自分で導入</t>
  </si>
  <si>
    <r>
      <rPr>
        <sz val="9.5"/>
        <color rgb="FF1E6B4A"/>
        <rFont val="Meiryo"/>
        <family val="0"/>
        <charset val="1"/>
      </rPr>
      <t xml:space="preserve">◎ RDS</t>
    </r>
    <r>
      <rPr>
        <sz val="9.5"/>
        <color rgb="FF1E6B4A"/>
        <rFont val="WenQuanYi Zen Hei"/>
        <family val="2"/>
      </rPr>
      <t xml:space="preserve">マネージド</t>
    </r>
  </si>
  <si>
    <t xml:space="preserve">Redis</t>
  </si>
  <si>
    <t xml:space="preserve">✕ 使えない</t>
  </si>
  <si>
    <t xml:space="preserve">◎ ElastiCache</t>
  </si>
  <si>
    <r>
      <rPr>
        <b val="true"/>
        <sz val="10"/>
        <color rgb="FF1A2430"/>
        <rFont val="Meiryo"/>
        <family val="0"/>
        <charset val="1"/>
      </rPr>
      <t xml:space="preserve">FFmpeg</t>
    </r>
    <r>
      <rPr>
        <b val="true"/>
        <sz val="10"/>
        <color rgb="FF1A2430"/>
        <rFont val="WenQuanYi Zen Hei"/>
        <family val="2"/>
      </rPr>
      <t xml:space="preserve">での動画変換</t>
    </r>
  </si>
  <si>
    <t xml:space="preserve">✕ 実行制限で不可</t>
  </si>
  <si>
    <t xml:space="preserve">○ 可能</t>
  </si>
  <si>
    <t xml:space="preserve">◎ 可能</t>
  </si>
  <si>
    <r>
      <rPr>
        <b val="true"/>
        <sz val="10"/>
        <color rgb="FF1A2430"/>
        <rFont val="WenQuanYi Zen Hei"/>
        <family val="2"/>
      </rPr>
      <t xml:space="preserve">常駐ワーカー（</t>
    </r>
    <r>
      <rPr>
        <b val="true"/>
        <sz val="10"/>
        <color rgb="FF1A2430"/>
        <rFont val="Meiryo"/>
        <family val="0"/>
        <charset val="1"/>
      </rPr>
      <t xml:space="preserve">Queue</t>
    </r>
    <r>
      <rPr>
        <b val="true"/>
        <sz val="10"/>
        <color rgb="FF1A2430"/>
        <rFont val="WenQuanYi Zen Hei"/>
        <family val="2"/>
      </rPr>
      <t xml:space="preserve">／</t>
    </r>
    <r>
      <rPr>
        <b val="true"/>
        <sz val="10"/>
        <color rgb="FF1A2430"/>
        <rFont val="Meiryo"/>
        <family val="0"/>
        <charset val="1"/>
      </rPr>
      <t xml:space="preserve">Scheduler</t>
    </r>
    <r>
      <rPr>
        <b val="true"/>
        <sz val="10"/>
        <color rgb="FF1A2430"/>
        <rFont val="WenQuanYi Zen Hei"/>
        <family val="2"/>
      </rPr>
      <t xml:space="preserve">）</t>
    </r>
  </si>
  <si>
    <t xml:space="preserve">✕ 持てない</t>
  </si>
  <si>
    <r>
      <rPr>
        <b val="true"/>
        <sz val="10"/>
        <color rgb="FF1A2430"/>
        <rFont val="Meiryo"/>
        <family val="0"/>
        <charset val="1"/>
      </rPr>
      <t xml:space="preserve">HLS</t>
    </r>
    <r>
      <rPr>
        <b val="true"/>
        <sz val="10"/>
        <color rgb="FF1A2430"/>
        <rFont val="WenQuanYi Zen Hei"/>
        <family val="2"/>
      </rPr>
      <t xml:space="preserve">配信・署名付き</t>
    </r>
    <r>
      <rPr>
        <b val="true"/>
        <sz val="10"/>
        <color rgb="FF1A2430"/>
        <rFont val="Meiryo"/>
        <family val="0"/>
        <charset val="1"/>
      </rPr>
      <t xml:space="preserve">URL</t>
    </r>
    <r>
      <rPr>
        <b val="true"/>
        <sz val="10"/>
        <color rgb="FF1A2430"/>
        <rFont val="WenQuanYi Zen Hei"/>
        <family val="2"/>
      </rPr>
      <t xml:space="preserve">・</t>
    </r>
    <r>
      <rPr>
        <b val="true"/>
        <sz val="10"/>
        <color rgb="FF1A2430"/>
        <rFont val="Meiryo"/>
        <family val="0"/>
        <charset val="1"/>
      </rPr>
      <t xml:space="preserve">CDN</t>
    </r>
  </si>
  <si>
    <t xml:space="preserve">✕ 実質不可</t>
  </si>
  <si>
    <r>
      <rPr>
        <sz val="9.5"/>
        <color rgb="FF1A2430"/>
        <rFont val="WenQuanYi Zen Hei"/>
        <family val="2"/>
      </rPr>
      <t xml:space="preserve">△ 別途</t>
    </r>
    <r>
      <rPr>
        <sz val="9.5"/>
        <color rgb="FF1A2430"/>
        <rFont val="Meiryo"/>
        <family val="0"/>
        <charset val="1"/>
      </rPr>
      <t xml:space="preserve">CDN</t>
    </r>
    <r>
      <rPr>
        <sz val="9.5"/>
        <color rgb="FF1A2430"/>
        <rFont val="WenQuanYi Zen Hei"/>
        <family val="2"/>
      </rPr>
      <t xml:space="preserve">が必要</t>
    </r>
  </si>
  <si>
    <r>
      <rPr>
        <sz val="9.5"/>
        <color rgb="FF1E6B4A"/>
        <rFont val="Meiryo"/>
        <family val="0"/>
        <charset val="1"/>
      </rPr>
      <t xml:space="preserve">◎ S3</t>
    </r>
    <r>
      <rPr>
        <sz val="9.5"/>
        <color rgb="FF1E6B4A"/>
        <rFont val="WenQuanYi Zen Hei"/>
        <family val="2"/>
      </rPr>
      <t xml:space="preserve">＋</t>
    </r>
    <r>
      <rPr>
        <sz val="9.5"/>
        <color rgb="FF1E6B4A"/>
        <rFont val="Meiryo"/>
        <family val="0"/>
        <charset val="1"/>
      </rPr>
      <t xml:space="preserve">CloudFront</t>
    </r>
  </si>
  <si>
    <r>
      <rPr>
        <b val="true"/>
        <sz val="10"/>
        <color rgb="FF1A2430"/>
        <rFont val="Meiryo"/>
        <family val="0"/>
        <charset val="1"/>
      </rPr>
      <t xml:space="preserve">DB</t>
    </r>
    <r>
      <rPr>
        <b val="true"/>
        <sz val="10"/>
        <color rgb="FF1A2430"/>
        <rFont val="WenQuanYi Zen Hei"/>
        <family val="2"/>
      </rPr>
      <t xml:space="preserve">の自動バックアップ・</t>
    </r>
    <r>
      <rPr>
        <b val="true"/>
        <sz val="10"/>
        <color rgb="FF1A2430"/>
        <rFont val="Meiryo"/>
        <family val="0"/>
        <charset val="1"/>
      </rPr>
      <t xml:space="preserve">PITR</t>
    </r>
  </si>
  <si>
    <t xml:space="preserve">✕</t>
  </si>
  <si>
    <t xml:space="preserve">△ 自分で仕組みを作る</t>
  </si>
  <si>
    <t xml:space="preserve">◎ 標準機能</t>
  </si>
  <si>
    <t xml:space="preserve">障害からの復旧</t>
  </si>
  <si>
    <t xml:space="preserve">△ 手作業。復旧時間が読めない</t>
  </si>
  <si>
    <t xml:space="preserve">◎ スナップショットから復元</t>
  </si>
  <si>
    <t xml:space="preserve">受講者増への対応</t>
  </si>
  <si>
    <t xml:space="preserve">△ 手作業でプラン変更</t>
  </si>
  <si>
    <t xml:space="preserve">◎ スケールアウト可能</t>
  </si>
  <si>
    <r>
      <rPr>
        <b val="true"/>
        <sz val="10"/>
        <color rgb="FF1A2430"/>
        <rFont val="WenQuanYi Zen Hei"/>
        <family val="2"/>
      </rPr>
      <t xml:space="preserve">顔照合</t>
    </r>
    <r>
      <rPr>
        <b val="true"/>
        <sz val="10"/>
        <color rgb="FF1A2430"/>
        <rFont val="Meiryo"/>
        <family val="0"/>
        <charset val="1"/>
      </rPr>
      <t xml:space="preserve">API</t>
    </r>
    <r>
      <rPr>
        <b val="true"/>
        <sz val="10"/>
        <color rgb="FF1A2430"/>
        <rFont val="WenQuanYi Zen Hei"/>
        <family val="2"/>
      </rPr>
      <t xml:space="preserve">（</t>
    </r>
    <r>
      <rPr>
        <b val="true"/>
        <sz val="10"/>
        <color rgb="FF1A2430"/>
        <rFont val="Meiryo"/>
        <family val="0"/>
        <charset val="1"/>
      </rPr>
      <t xml:space="preserve">Rekognition</t>
    </r>
    <r>
      <rPr>
        <b val="true"/>
        <sz val="10"/>
        <color rgb="FF1A2430"/>
        <rFont val="WenQuanYi Zen Hei"/>
        <family val="2"/>
      </rPr>
      <t xml:space="preserve">）との親和性</t>
    </r>
  </si>
  <si>
    <t xml:space="preserve">―</t>
  </si>
  <si>
    <t xml:space="preserve">△ 外部連携</t>
  </si>
  <si>
    <t xml:space="preserve">◎ 同一基盤・国内リージョン</t>
  </si>
  <si>
    <t xml:space="preserve">運用にかかる手間</t>
  </si>
  <si>
    <t xml:space="preserve">多い</t>
  </si>
  <si>
    <t xml:space="preserve">少ない</t>
  </si>
  <si>
    <t xml:space="preserve">総合評価</t>
  </si>
  <si>
    <t xml:space="preserve">✕ 採用不可</t>
  </si>
  <si>
    <t xml:space="preserve">△ 条件付きで可</t>
  </si>
  <si>
    <t xml:space="preserve">◎ 推奨</t>
  </si>
  <si>
    <t xml:space="preserve">■ 結論</t>
  </si>
  <si>
    <t xml:space="preserve">エックスサーバーの共用レンタルサーバーでは、この設計は動きません。</t>
  </si>
  <si>
    <r>
      <rPr>
        <sz val="10"/>
        <color rgb="FF6C7A87"/>
        <rFont val="WenQuanYi Zen Hei"/>
        <family val="2"/>
      </rPr>
      <t xml:space="preserve">　</t>
    </r>
    <r>
      <rPr>
        <sz val="10"/>
        <color rgb="FF6C7A87"/>
        <rFont val="Meiryo"/>
        <family val="0"/>
        <charset val="1"/>
      </rPr>
      <t xml:space="preserve">PostgreSQL</t>
    </r>
    <r>
      <rPr>
        <sz val="10"/>
        <color rgb="FF6C7A87"/>
        <rFont val="WenQuanYi Zen Hei"/>
        <family val="2"/>
      </rPr>
      <t xml:space="preserve">も</t>
    </r>
    <r>
      <rPr>
        <sz val="10"/>
        <color rgb="FF6C7A87"/>
        <rFont val="Meiryo"/>
        <family val="0"/>
        <charset val="1"/>
      </rPr>
      <t xml:space="preserve">Redis</t>
    </r>
    <r>
      <rPr>
        <sz val="10"/>
        <color rgb="FF6C7A87"/>
        <rFont val="WenQuanYi Zen Hei"/>
        <family val="2"/>
      </rPr>
      <t xml:space="preserve">も使えず、</t>
    </r>
    <r>
      <rPr>
        <sz val="10"/>
        <color rgb="FF6C7A87"/>
        <rFont val="Meiryo"/>
        <family val="0"/>
        <charset val="1"/>
      </rPr>
      <t xml:space="preserve">FFmpeg</t>
    </r>
    <r>
      <rPr>
        <sz val="10"/>
        <color rgb="FF6C7A87"/>
        <rFont val="WenQuanYi Zen Hei"/>
        <family val="2"/>
      </rPr>
      <t xml:space="preserve">での動画変換も常駐ワーカーも持てません。設計書の前提を満たしません。</t>
    </r>
  </si>
  <si>
    <r>
      <rPr>
        <sz val="10"/>
        <color rgb="FF1A2430"/>
        <rFont val="Meiryo"/>
        <family val="0"/>
        <charset val="1"/>
      </rPr>
      <t xml:space="preserve">Xserver VPS </t>
    </r>
    <r>
      <rPr>
        <sz val="10"/>
        <color rgb="FF1A2430"/>
        <rFont val="WenQuanYi Zen Hei"/>
        <family val="2"/>
      </rPr>
      <t xml:space="preserve">なら技術的には構築できます。</t>
    </r>
    <r>
      <rPr>
        <sz val="10"/>
        <color rgb="FF1A2430"/>
        <rFont val="Meiryo"/>
        <family val="0"/>
        <charset val="1"/>
      </rPr>
      <t xml:space="preserve">root</t>
    </r>
    <r>
      <rPr>
        <sz val="10"/>
        <color rgb="FF1A2430"/>
        <rFont val="WenQuanYi Zen Hei"/>
        <family val="2"/>
      </rPr>
      <t xml:space="preserve">権限があるため、必要なものは自分で導入できます。</t>
    </r>
  </si>
  <si>
    <t xml:space="preserve">　ただし、バックアップ・冗長化・監視・スケールをすべて自分で作ることになります。</t>
  </si>
  <si>
    <r>
      <rPr>
        <b val="true"/>
        <sz val="10"/>
        <color rgb="FF1E6B4A"/>
        <rFont val="WenQuanYi Zen Hei"/>
        <family val="2"/>
      </rPr>
      <t xml:space="preserve">弊社は</t>
    </r>
    <r>
      <rPr>
        <b val="true"/>
        <sz val="10"/>
        <color rgb="FF1E6B4A"/>
        <rFont val="Meiryo"/>
        <family val="0"/>
        <charset val="1"/>
      </rPr>
      <t xml:space="preserve">AWS</t>
    </r>
    <r>
      <rPr>
        <b val="true"/>
        <sz val="10"/>
        <color rgb="FF1E6B4A"/>
        <rFont val="WenQuanYi Zen Hei"/>
        <family val="2"/>
      </rPr>
      <t xml:space="preserve">を推奨します。理由は費用ではなく、記録を失わないためです。</t>
    </r>
  </si>
  <si>
    <r>
      <rPr>
        <sz val="10"/>
        <color rgb="FF6C7A87"/>
        <rFont val="WenQuanYi Zen Hei"/>
        <family val="2"/>
      </rPr>
      <t xml:space="preserve">　本人確認と受講の記録は</t>
    </r>
    <r>
      <rPr>
        <sz val="10"/>
        <color rgb="FF6C7A87"/>
        <rFont val="Meiryo"/>
        <family val="0"/>
        <charset val="1"/>
      </rPr>
      <t xml:space="preserve">3</t>
    </r>
    <r>
      <rPr>
        <sz val="10"/>
        <color rgb="FF6C7A87"/>
        <rFont val="WenQuanYi Zen Hei"/>
        <family val="2"/>
      </rPr>
      <t xml:space="preserve">年以上の保存義務があります。この記録を失うことは、事業の根幹である</t>
    </r>
  </si>
  <si>
    <r>
      <rPr>
        <sz val="10"/>
        <color rgb="FF6C7A87"/>
        <rFont val="WenQuanYi Zen Hei"/>
        <family val="2"/>
      </rPr>
      <t xml:space="preserve">　「証明できること」が崩れることを意味します。</t>
    </r>
    <r>
      <rPr>
        <sz val="10"/>
        <color rgb="FF6C7A87"/>
        <rFont val="Meiryo"/>
        <family val="0"/>
        <charset val="1"/>
      </rPr>
      <t xml:space="preserve">RDS</t>
    </r>
    <r>
      <rPr>
        <sz val="10"/>
        <color rgb="FF6C7A87"/>
        <rFont val="WenQuanYi Zen Hei"/>
        <family val="2"/>
      </rPr>
      <t xml:space="preserve">の自動バックアップと</t>
    </r>
    <r>
      <rPr>
        <sz val="10"/>
        <color rgb="FF6C7A87"/>
        <rFont val="Meiryo"/>
        <family val="0"/>
        <charset val="1"/>
      </rPr>
      <t xml:space="preserve">PITR</t>
    </r>
    <r>
      <rPr>
        <sz val="10"/>
        <color rgb="FF6C7A87"/>
        <rFont val="WenQuanYi Zen Hei"/>
        <family val="2"/>
      </rPr>
      <t xml:space="preserve">は、この事業では</t>
    </r>
  </si>
  <si>
    <r>
      <rPr>
        <sz val="10"/>
        <color rgb="FF6C7A87"/>
        <rFont val="WenQuanYi Zen Hei"/>
        <family val="2"/>
      </rPr>
      <t xml:space="preserve">　贅沢品ではなく必需品です。月額の差は</t>
    </r>
    <r>
      <rPr>
        <sz val="10"/>
        <color rgb="FF6C7A87"/>
        <rFont val="Meiryo"/>
        <family val="0"/>
        <charset val="1"/>
      </rPr>
      <t xml:space="preserve">1</t>
    </r>
    <r>
      <rPr>
        <sz val="10"/>
        <color rgb="FF6C7A87"/>
        <rFont val="WenQuanYi Zen Hei"/>
        <family val="2"/>
      </rPr>
      <t xml:space="preserve">万円程度で、その保険料としては安いと考えます。</t>
    </r>
  </si>
  <si>
    <r>
      <rPr>
        <sz val="10"/>
        <color rgb="FF6C7A87"/>
        <rFont val="WenQuanYi Zen Hei"/>
        <family val="2"/>
      </rPr>
      <t xml:space="preserve">　顔照合に</t>
    </r>
    <r>
      <rPr>
        <sz val="10"/>
        <color rgb="FF6C7A87"/>
        <rFont val="Meiryo"/>
        <family val="0"/>
        <charset val="1"/>
      </rPr>
      <t xml:space="preserve">AWS Rekognition</t>
    </r>
    <r>
      <rPr>
        <sz val="10"/>
        <color rgb="FF6C7A87"/>
        <rFont val="WenQuanYi Zen Hei"/>
        <family val="2"/>
      </rPr>
      <t xml:space="preserve">を使うため、同じ基盤に載せるほうが構成が単純になり、</t>
    </r>
  </si>
  <si>
    <t xml:space="preserve">　個人データの国外移転の問題も生じにくくなります。</t>
  </si>
  <si>
    <t xml:space="preserve">■ 費用を抑える方法</t>
  </si>
  <si>
    <r>
      <rPr>
        <sz val="10"/>
        <color rgb="FF6C7A87"/>
        <rFont val="WenQuanYi Zen Hei"/>
        <family val="2"/>
      </rPr>
      <t xml:space="preserve">・監視サービスは無料枠から開始できます（当面</t>
    </r>
    <r>
      <rPr>
        <sz val="10"/>
        <color rgb="FF6C7A87"/>
        <rFont val="Meiryo"/>
        <family val="0"/>
        <charset val="1"/>
      </rPr>
      <t xml:space="preserve">0</t>
    </r>
    <r>
      <rPr>
        <sz val="10"/>
        <color rgb="FF6C7A87"/>
        <rFont val="WenQuanYi Zen Hei"/>
        <family val="2"/>
      </rPr>
      <t xml:space="preserve">円）。</t>
    </r>
  </si>
  <si>
    <t xml:space="preserve">・アバター・音声合成のサブスクは、教材の制作が終われば解約できます。</t>
  </si>
  <si>
    <t xml:space="preserve">・受講者が少ないうちはサーバーを小さく始め、増えてから上げれば十分です。</t>
  </si>
  <si>
    <r>
      <rPr>
        <sz val="10"/>
        <color rgb="FF6C7A87"/>
        <rFont val="WenQuanYi Zen Hei"/>
        <family val="2"/>
      </rPr>
      <t xml:space="preserve">・</t>
    </r>
    <r>
      <rPr>
        <sz val="10"/>
        <color rgb="FF6C7A87"/>
        <rFont val="Meiryo"/>
        <family val="0"/>
        <charset val="1"/>
      </rPr>
      <t xml:space="preserve">CloudFront</t>
    </r>
    <r>
      <rPr>
        <sz val="10"/>
        <color rgb="FF6C7A87"/>
        <rFont val="WenQuanYi Zen Hei"/>
        <family val="2"/>
      </rPr>
      <t xml:space="preserve">の無料枠（月</t>
    </r>
    <r>
      <rPr>
        <sz val="10"/>
        <color rgb="FF6C7A87"/>
        <rFont val="Meiryo"/>
        <family val="0"/>
        <charset val="1"/>
      </rPr>
      <t xml:space="preserve">1TB</t>
    </r>
    <r>
      <rPr>
        <sz val="10"/>
        <color rgb="FF6C7A87"/>
        <rFont val="WenQuanYi Zen Hei"/>
        <family val="2"/>
      </rPr>
      <t xml:space="preserve">）があるため、立ち上げ期の配信費はほぼ発生しません。</t>
    </r>
  </si>
  <si>
    <r>
      <rPr>
        <b val="true"/>
        <sz val="15"/>
        <color rgb="FF1B3A57"/>
        <rFont val="WenQuanYi Zen Hei"/>
        <family val="2"/>
      </rPr>
      <t xml:space="preserve">月額</t>
    </r>
    <r>
      <rPr>
        <b val="true"/>
        <sz val="15"/>
        <color rgb="FF1B3A57"/>
        <rFont val="Meiryo"/>
        <family val="0"/>
        <charset val="1"/>
      </rPr>
      <t xml:space="preserve">8</t>
    </r>
    <r>
      <rPr>
        <b val="true"/>
        <sz val="15"/>
        <color rgb="FF1B3A57"/>
        <rFont val="WenQuanYi Zen Hei"/>
        <family val="2"/>
      </rPr>
      <t xml:space="preserve">万円に、サーバー費を含めるべきか</t>
    </r>
  </si>
  <si>
    <t xml:space="preserve">結論：含めないでください。実費は別途とすべきです。</t>
  </si>
  <si>
    <t xml:space="preserve">含める場合</t>
  </si>
  <si>
    <t xml:space="preserve">別途にする場合（推奨）</t>
  </si>
  <si>
    <t xml:space="preserve">受講者が増えたとき</t>
  </si>
  <si>
    <r>
      <rPr>
        <sz val="9.5"/>
        <color rgb="FF9E2F27"/>
        <rFont val="WenQuanYi Zen Hei"/>
        <family val="2"/>
      </rPr>
      <t xml:space="preserve">転送量・顔照合・ストレージが増え、</t>
    </r>
    <r>
      <rPr>
        <sz val="9.5"/>
        <color rgb="FF9E2F27"/>
        <rFont val="Meiryo"/>
        <family val="0"/>
        <charset val="1"/>
      </rPr>
      <t xml:space="preserve">8</t>
    </r>
    <r>
      <rPr>
        <sz val="9.5"/>
        <color rgb="FF9E2F27"/>
        <rFont val="WenQuanYi Zen Hei"/>
        <family val="2"/>
      </rPr>
      <t xml:space="preserve">万円では赤字になります。事業が成功するほど御社が損をします。</t>
    </r>
  </si>
  <si>
    <t xml:space="preserve">実費が受講者数に応じて増えるだけです。受講料で回収できます。</t>
  </si>
  <si>
    <t xml:space="preserve">聖建様側の見え方</t>
  </si>
  <si>
    <t xml:space="preserve">何にいくらかかっているか分かりません。原価管理ができません。</t>
  </si>
  <si>
    <t xml:space="preserve">実費が明細で見えます。受講料の設定根拠になります。</t>
  </si>
  <si>
    <t xml:space="preserve">為替が動いたとき</t>
  </si>
  <si>
    <t xml:space="preserve">ドル建て費用が上がっても御社が吸収することになります。</t>
  </si>
  <si>
    <t xml:space="preserve">実費として自動的に反映されます。</t>
  </si>
  <si>
    <t xml:space="preserve">契約が終わるとき</t>
  </si>
  <si>
    <t xml:space="preserve">サーバーの契約主体が御社のため、引き継ぎが煩雑になります。</t>
  </si>
  <si>
    <t xml:space="preserve">聖建様名義であれば、そのまま継続できます。</t>
  </si>
  <si>
    <t xml:space="preserve">値上げ交渉</t>
  </si>
  <si>
    <t xml:space="preserve">毎年「上げてください」と言う必要があります。</t>
  </si>
  <si>
    <t xml:space="preserve">不要です。</t>
  </si>
  <si>
    <t xml:space="preserve">■ 推奨する契約の形</t>
  </si>
  <si>
    <r>
      <rPr>
        <sz val="10"/>
        <color rgb="FF1A2430"/>
        <rFont val="WenQuanYi Zen Hei"/>
        <family val="2"/>
      </rPr>
      <t xml:space="preserve">① 月額 </t>
    </r>
    <r>
      <rPr>
        <sz val="10"/>
        <color rgb="FF1A2430"/>
        <rFont val="Meiryo"/>
        <family val="0"/>
        <charset val="1"/>
      </rPr>
      <t xml:space="preserve">80,000</t>
    </r>
    <r>
      <rPr>
        <sz val="10"/>
        <color rgb="FF1A2430"/>
        <rFont val="WenQuanYi Zen Hei"/>
        <family val="2"/>
      </rPr>
      <t xml:space="preserve">円（税抜）＝ 保守・運用サービス</t>
    </r>
  </si>
  <si>
    <t xml:space="preserve">　　監視、障害対応、軽微な改修、受講者からの問い合わせ一次対応、月次レポート。</t>
  </si>
  <si>
    <t xml:space="preserve">　　人的サービスの対価であり、受講者数に左右されません。</t>
  </si>
  <si>
    <r>
      <rPr>
        <sz val="10"/>
        <color rgb="FF1A2430"/>
        <rFont val="WenQuanYi Zen Hei"/>
        <family val="2"/>
      </rPr>
      <t xml:space="preserve">② インフラ実費 ＝ 聖建様名義で</t>
    </r>
    <r>
      <rPr>
        <sz val="10"/>
        <color rgb="FF1A2430"/>
        <rFont val="Meiryo"/>
        <family val="0"/>
        <charset val="1"/>
      </rPr>
      <t xml:space="preserve">AWS</t>
    </r>
    <r>
      <rPr>
        <sz val="10"/>
        <color rgb="FF1A2430"/>
        <rFont val="WenQuanYi Zen Hei"/>
        <family val="2"/>
      </rPr>
      <t xml:space="preserve">と直接ご契約（推奨）</t>
    </r>
  </si>
  <si>
    <t xml:space="preserve">　　御社は運用代行のみを行います。立替えが発生せず、費用が透明になります。</t>
  </si>
  <si>
    <t xml:space="preserve">　　聖建様側でアカウント管理が難しい場合は、弊社が代行契約し、</t>
  </si>
  <si>
    <r>
      <rPr>
        <sz val="10"/>
        <color rgb="FF6C7A87"/>
        <rFont val="WenQuanYi Zen Hei"/>
        <family val="2"/>
      </rPr>
      <t xml:space="preserve">　　実費＋事務手数料</t>
    </r>
    <r>
      <rPr>
        <sz val="10"/>
        <color rgb="FF6C7A87"/>
        <rFont val="Meiryo"/>
        <family val="0"/>
        <charset val="1"/>
      </rPr>
      <t xml:space="preserve">10%</t>
    </r>
    <r>
      <rPr>
        <sz val="10"/>
        <color rgb="FF6C7A87"/>
        <rFont val="WenQuanYi Zen Hei"/>
        <family val="2"/>
      </rPr>
      <t xml:space="preserve">でご請求する形も可能です。</t>
    </r>
  </si>
  <si>
    <t xml:space="preserve">③ 従量サービス（顔照合・ライブネス・決済）</t>
  </si>
  <si>
    <t xml:space="preserve">　　②と同じ扱いとします。受講者数に比例するため、定額に含めるべきではありません。</t>
  </si>
  <si>
    <t xml:space="preserve">■ ご提示のしかた</t>
  </si>
  <si>
    <r>
      <rPr>
        <sz val="10"/>
        <color rgb="FF1A2430"/>
        <rFont val="WenQuanYi Zen Hei"/>
        <family val="2"/>
      </rPr>
      <t xml:space="preserve">「月額</t>
    </r>
    <r>
      <rPr>
        <sz val="10"/>
        <color rgb="FF1A2430"/>
        <rFont val="Meiryo"/>
        <family val="0"/>
        <charset val="1"/>
      </rPr>
      <t xml:space="preserve">8</t>
    </r>
    <r>
      <rPr>
        <sz val="10"/>
        <color rgb="FF1A2430"/>
        <rFont val="WenQuanYi Zen Hei"/>
        <family val="2"/>
      </rPr>
      <t xml:space="preserve">万円は保守・運用の費用です。サーバーと</t>
    </r>
    <r>
      <rPr>
        <sz val="10"/>
        <color rgb="FF1A2430"/>
        <rFont val="Meiryo"/>
        <family val="0"/>
        <charset val="1"/>
      </rPr>
      <t xml:space="preserve">API</t>
    </r>
    <r>
      <rPr>
        <sz val="10"/>
        <color rgb="FF1A2430"/>
        <rFont val="WenQuanYi Zen Hei"/>
        <family val="2"/>
      </rPr>
      <t xml:space="preserve">の実費は、受講者数で変わるため別途とさせてください。</t>
    </r>
  </si>
  <si>
    <r>
      <rPr>
        <sz val="10"/>
        <color rgb="FF1A2430"/>
        <rFont val="WenQuanYi Zen Hei"/>
        <family val="2"/>
      </rPr>
      <t xml:space="preserve">　いまの規模なら月</t>
    </r>
    <r>
      <rPr>
        <sz val="10"/>
        <color rgb="FF1A2430"/>
        <rFont val="Meiryo"/>
        <family val="0"/>
        <charset val="1"/>
      </rPr>
      <t xml:space="preserve">2</t>
    </r>
    <r>
      <rPr>
        <sz val="10"/>
        <color rgb="FF1A2430"/>
        <rFont val="WenQuanYi Zen Hei"/>
        <family val="2"/>
      </rPr>
      <t xml:space="preserve">万円程度、受講者が月</t>
    </r>
    <r>
      <rPr>
        <sz val="10"/>
        <color rgb="FF1A2430"/>
        <rFont val="Meiryo"/>
        <family val="0"/>
        <charset val="1"/>
      </rPr>
      <t xml:space="preserve">300</t>
    </r>
    <r>
      <rPr>
        <sz val="10"/>
        <color rgb="FF1A2430"/>
        <rFont val="WenQuanYi Zen Hei"/>
        <family val="2"/>
      </rPr>
      <t xml:space="preserve">名になっても月</t>
    </r>
    <r>
      <rPr>
        <sz val="10"/>
        <color rgb="FF1A2430"/>
        <rFont val="Meiryo"/>
        <family val="0"/>
        <charset val="1"/>
      </rPr>
      <t xml:space="preserve">3</t>
    </r>
    <r>
      <rPr>
        <sz val="10"/>
        <color rgb="FF1A2430"/>
        <rFont val="WenQuanYi Zen Hei"/>
        <family val="2"/>
      </rPr>
      <t xml:space="preserve">万円台の見込みです。</t>
    </r>
  </si>
  <si>
    <t xml:space="preserve">　定額に含めてしまうと、御社の受講者が増えたときに私どもが値上げをお願いすることになり、</t>
  </si>
  <si>
    <t xml:space="preserve">　かえってご迷惑をおかけします。」</t>
  </si>
  <si>
    <t xml:space="preserve">この説明なら、値切りではなく合理性の話として受け取っていただけます。</t>
  </si>
</sst>
</file>

<file path=xl/styles.xml><?xml version="1.0" encoding="utf-8"?>
<styleSheet xmlns="http://schemas.openxmlformats.org/spreadsheetml/2006/main">
  <numFmts count="10">
    <numFmt numFmtId="164" formatCode="General"/>
    <numFmt numFmtId="165" formatCode="#,##0\名"/>
    <numFmt numFmtId="166" formatCode="\¥#,##0;&quot;(¥&quot;#,##0\);\-"/>
    <numFmt numFmtId="167" formatCode="\¥#,##0&quot;／USD&quot;"/>
    <numFmt numFmtId="168" formatCode="0.0&quot; GB&quot;"/>
    <numFmt numFmtId="169" formatCode="0&quot; 回&quot;"/>
    <numFmt numFmtId="170" formatCode="0.0%"/>
    <numFmt numFmtId="171" formatCode="#,##0&quot; GB／月&quot;"/>
    <numFmt numFmtId="172" formatCode="\¥#,##0.0"/>
    <numFmt numFmtId="173" formatCode="\¥#,##0.00"/>
  </numFmts>
  <fonts count="41">
    <font>
      <sz val="11"/>
      <color theme="1"/>
      <name val="Calibri"/>
      <family val="2"/>
      <charset val="1"/>
    </font>
    <font>
      <sz val="10"/>
      <name val="Arial"/>
      <family val="0"/>
    </font>
    <font>
      <sz val="10"/>
      <name val="Arial"/>
      <family val="0"/>
    </font>
    <font>
      <sz val="10"/>
      <name val="Arial"/>
      <family val="0"/>
    </font>
    <font>
      <b val="true"/>
      <sz val="15"/>
      <color rgb="FF1B3A57"/>
      <name val="WenQuanYi Zen Hei"/>
      <family val="2"/>
    </font>
    <font>
      <sz val="9"/>
      <color rgb="FF6C7A87"/>
      <name val="WenQuanYi Zen Hei"/>
      <family val="2"/>
    </font>
    <font>
      <sz val="9"/>
      <color rgb="FF6C7A87"/>
      <name val="Meiryo"/>
      <family val="0"/>
      <charset val="1"/>
    </font>
    <font>
      <b val="true"/>
      <sz val="9.5"/>
      <color rgb="FFFFFFFF"/>
      <name val="WenQuanYi Zen Hei"/>
      <family val="2"/>
    </font>
    <font>
      <b val="true"/>
      <sz val="9.5"/>
      <color rgb="FFFFFFFF"/>
      <name val="Meiryo"/>
      <family val="0"/>
      <charset val="1"/>
    </font>
    <font>
      <b val="true"/>
      <sz val="10"/>
      <color rgb="FF1A2430"/>
      <name val="WenQuanYi Zen Hei"/>
      <family val="2"/>
    </font>
    <font>
      <b val="true"/>
      <sz val="10"/>
      <color rgb="FF0000FF"/>
      <name val="Meiryo"/>
      <family val="0"/>
      <charset val="1"/>
    </font>
    <font>
      <b val="true"/>
      <sz val="10"/>
      <color rgb="FF1B3A57"/>
      <name val="Meiryo"/>
      <family val="0"/>
      <charset val="1"/>
    </font>
    <font>
      <b val="true"/>
      <sz val="10"/>
      <color rgb="FF1B3A57"/>
      <name val="WenQuanYi Zen Hei"/>
      <family val="2"/>
    </font>
    <font>
      <sz val="10"/>
      <color rgb="FF1A2430"/>
      <name val="Meiryo"/>
      <family val="0"/>
      <charset val="1"/>
    </font>
    <font>
      <b val="true"/>
      <sz val="10"/>
      <color rgb="FF1A2430"/>
      <name val="Meiryo"/>
      <family val="0"/>
      <charset val="1"/>
    </font>
    <font>
      <sz val="10"/>
      <color rgb="FF1A2430"/>
      <name val="WenQuanYi Zen Hei"/>
      <family val="2"/>
    </font>
    <font>
      <b val="true"/>
      <sz val="12"/>
      <color rgb="FF1B3A57"/>
      <name val="WenQuanYi Zen Hei"/>
      <family val="2"/>
    </font>
    <font>
      <b val="true"/>
      <sz val="12"/>
      <color rgb="FF1A2430"/>
      <name val="Meiryo"/>
      <family val="0"/>
      <charset val="1"/>
    </font>
    <font>
      <b val="true"/>
      <sz val="10"/>
      <color rgb="FFB05A1E"/>
      <name val="Meiryo"/>
      <family val="0"/>
      <charset val="1"/>
    </font>
    <font>
      <b val="true"/>
      <sz val="10"/>
      <color rgb="FF9E2F27"/>
      <name val="Meiryo"/>
      <family val="0"/>
      <charset val="1"/>
    </font>
    <font>
      <b val="true"/>
      <sz val="10"/>
      <color rgb="FF9E2F27"/>
      <name val="WenQuanYi Zen Hei"/>
      <family val="2"/>
    </font>
    <font>
      <sz val="10"/>
      <color rgb="FF9E2F27"/>
      <name val="Meiryo"/>
      <family val="0"/>
      <charset val="1"/>
    </font>
    <font>
      <sz val="10"/>
      <color rgb="FF6C7A87"/>
      <name val="Meiryo"/>
      <family val="0"/>
      <charset val="1"/>
    </font>
    <font>
      <b val="true"/>
      <sz val="10"/>
      <color rgb="FF1E6B4A"/>
      <name val="Meiryo"/>
      <family val="0"/>
      <charset val="1"/>
    </font>
    <font>
      <b val="true"/>
      <sz val="9.5"/>
      <color rgb="FF1B3A57"/>
      <name val="WenQuanYi Zen Hei"/>
      <family val="2"/>
    </font>
    <font>
      <sz val="9.5"/>
      <color rgb="FF6C7A87"/>
      <name val="WenQuanYi Zen Hei"/>
      <family val="2"/>
    </font>
    <font>
      <sz val="9.5"/>
      <color rgb="FF6C7A87"/>
      <name val="Meiryo"/>
      <family val="0"/>
      <charset val="1"/>
    </font>
    <font>
      <sz val="9.5"/>
      <color rgb="FF1A2430"/>
      <name val="Meiryo"/>
      <family val="0"/>
      <charset val="1"/>
    </font>
    <font>
      <sz val="9.5"/>
      <color rgb="FF1A2430"/>
      <name val="WenQuanYi Zen Hei"/>
      <family val="2"/>
    </font>
    <font>
      <sz val="9.5"/>
      <color rgb="FF9E2F27"/>
      <name val="WenQuanYi Zen Hei"/>
      <family val="2"/>
    </font>
    <font>
      <sz val="9.5"/>
      <color rgb="FF9E2F27"/>
      <name val="Meiryo"/>
      <family val="0"/>
      <charset val="1"/>
    </font>
    <font>
      <sz val="9.5"/>
      <color rgb="FF1E6B4A"/>
      <name val="Meiryo"/>
      <family val="0"/>
      <charset val="1"/>
    </font>
    <font>
      <sz val="9.5"/>
      <color rgb="FF1E6B4A"/>
      <name val="WenQuanYi Zen Hei"/>
      <family val="2"/>
    </font>
    <font>
      <b val="true"/>
      <sz val="9.5"/>
      <color rgb="FF9E2F27"/>
      <name val="WenQuanYi Zen Hei"/>
      <family val="2"/>
    </font>
    <font>
      <b val="true"/>
      <sz val="9.5"/>
      <color rgb="FF1A2430"/>
      <name val="WenQuanYi Zen Hei"/>
      <family val="2"/>
    </font>
    <font>
      <b val="true"/>
      <sz val="9.5"/>
      <color rgb="FF1E6B4A"/>
      <name val="WenQuanYi Zen Hei"/>
      <family val="2"/>
    </font>
    <font>
      <sz val="10"/>
      <color rgb="FF6C7A87"/>
      <name val="WenQuanYi Zen Hei"/>
      <family val="2"/>
    </font>
    <font>
      <b val="true"/>
      <sz val="10"/>
      <color rgb="FF1E6B4A"/>
      <name val="WenQuanYi Zen Hei"/>
      <family val="2"/>
    </font>
    <font>
      <b val="true"/>
      <sz val="15"/>
      <color rgb="FF1B3A57"/>
      <name val="Meiryo"/>
      <family val="0"/>
      <charset val="1"/>
    </font>
    <font>
      <b val="true"/>
      <sz val="12"/>
      <color rgb="FF9E2F27"/>
      <name val="WenQuanYi Zen Hei"/>
      <family val="2"/>
    </font>
    <font>
      <sz val="10"/>
      <color rgb="FF1E6B4A"/>
      <name val="WenQuanYi Zen Hei"/>
      <family val="2"/>
    </font>
  </fonts>
  <fills count="8">
    <fill>
      <patternFill patternType="none"/>
    </fill>
    <fill>
      <patternFill patternType="gray125"/>
    </fill>
    <fill>
      <patternFill patternType="solid">
        <fgColor rgb="FF1B3A57"/>
        <bgColor rgb="FF1A2430"/>
      </patternFill>
    </fill>
    <fill>
      <patternFill patternType="solid">
        <fgColor rgb="FFDCE6EE"/>
        <bgColor rgb="FFDFF0E6"/>
      </patternFill>
    </fill>
    <fill>
      <patternFill patternType="solid">
        <fgColor rgb="FFFFF6D9"/>
        <bgColor rgb="FFF2F5F7"/>
      </patternFill>
    </fill>
    <fill>
      <patternFill patternType="solid">
        <fgColor rgb="FFF2F5F7"/>
        <bgColor rgb="FFFFFFFF"/>
      </patternFill>
    </fill>
    <fill>
      <patternFill patternType="solid">
        <fgColor rgb="FFFBE3E1"/>
        <bgColor rgb="FFFFF6D9"/>
      </patternFill>
    </fill>
    <fill>
      <patternFill patternType="solid">
        <fgColor rgb="FFDFF0E6"/>
        <bgColor rgb="FFDCE6EE"/>
      </patternFill>
    </fill>
  </fills>
  <borders count="2">
    <border diagonalUp="false" diagonalDown="false">
      <left/>
      <right/>
      <top/>
      <bottom/>
      <diagonal/>
    </border>
    <border diagonalUp="false" diagonalDown="false">
      <left style="thin">
        <color rgb="FFC9D4DC"/>
      </left>
      <right style="thin">
        <color rgb="FFC9D4DC"/>
      </right>
      <top style="thin">
        <color rgb="FFC9D4DC"/>
      </top>
      <bottom style="thin">
        <color rgb="FFC9D4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5" fontId="10" fillId="4"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11" fillId="3" borderId="1" xfId="0" applyFont="true" applyBorder="true" applyAlignment="true" applyProtection="false">
      <alignment horizontal="left" vertical="center" textRotation="0" wrapText="false" indent="0" shrinkToFit="false"/>
      <protection locked="true" hidden="false"/>
    </xf>
    <xf numFmtId="164" fontId="13" fillId="3"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6" fontId="13" fillId="0" borderId="1" xfId="0" applyFont="true" applyBorder="true" applyAlignment="true" applyProtection="false">
      <alignment horizontal="righ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6" fontId="14" fillId="5" borderId="1" xfId="0" applyFont="true" applyBorder="true" applyAlignment="true" applyProtection="false">
      <alignment horizontal="right" vertical="center" textRotation="0" wrapText="false" indent="0" shrinkToFit="false"/>
      <protection locked="true" hidden="false"/>
    </xf>
    <xf numFmtId="164" fontId="13" fillId="5" borderId="1" xfId="0" applyFont="true" applyBorder="true" applyAlignment="true" applyProtection="false">
      <alignment horizontal="left" vertical="center" textRotation="0" wrapText="false" indent="0" shrinkToFit="false"/>
      <protection locked="true" hidden="false"/>
    </xf>
    <xf numFmtId="164" fontId="15" fillId="0" borderId="1" xfId="0" applyFont="true" applyBorder="true" applyAlignment="true" applyProtection="false">
      <alignment horizontal="left" vertical="center" textRotation="0" wrapText="false" indent="0" shrinkToFit="false"/>
      <protection locked="true" hidden="false"/>
    </xf>
    <xf numFmtId="164" fontId="16" fillId="3" borderId="1" xfId="0" applyFont="true" applyBorder="true" applyAlignment="true" applyProtection="false">
      <alignment horizontal="left" vertical="center" textRotation="0" wrapText="false" indent="0" shrinkToFit="false"/>
      <protection locked="true" hidden="false"/>
    </xf>
    <xf numFmtId="166" fontId="17" fillId="3" borderId="1" xfId="0" applyFont="true" applyBorder="true" applyAlignment="true" applyProtection="false">
      <alignment horizontal="right" vertical="center" textRotation="0" wrapText="false" indent="0" shrinkToFit="false"/>
      <protection locked="true" hidden="false"/>
    </xf>
    <xf numFmtId="166" fontId="18" fillId="0" borderId="1" xfId="0" applyFont="true" applyBorder="true" applyAlignment="true" applyProtection="false">
      <alignment horizontal="right" vertical="center" textRotation="0" wrapText="false" indent="0" shrinkToFit="false"/>
      <protection locked="true" hidden="false"/>
    </xf>
    <xf numFmtId="164" fontId="19" fillId="3" borderId="1" xfId="0" applyFont="true" applyBorder="true" applyAlignment="true" applyProtection="false">
      <alignment horizontal="left" vertical="center" textRotation="0" wrapText="false" indent="0" shrinkToFit="false"/>
      <protection locked="true" hidden="false"/>
    </xf>
    <xf numFmtId="166" fontId="21" fillId="0" borderId="1" xfId="0" applyFont="true" applyBorder="true" applyAlignment="true" applyProtection="false">
      <alignment horizontal="right" vertical="center" textRotation="0" wrapText="false" indent="0" shrinkToFit="false"/>
      <protection locked="true" hidden="false"/>
    </xf>
    <xf numFmtId="166" fontId="22" fillId="0" borderId="1" xfId="0" applyFont="true" applyBorder="true" applyAlignment="true" applyProtection="false">
      <alignment horizontal="righ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6" fontId="23" fillId="0" borderId="1" xfId="0" applyFont="true" applyBorder="true" applyAlignment="true" applyProtection="false">
      <alignment horizontal="right" vertical="center" textRotation="0" wrapText="false" indent="0" shrinkToFit="false"/>
      <protection locked="true" hidden="false"/>
    </xf>
    <xf numFmtId="164" fontId="24" fillId="0" borderId="0" xfId="0" applyFont="true" applyBorder="false" applyAlignment="true" applyProtection="false">
      <alignment horizontal="left" vertical="center" textRotation="0" wrapText="false" indent="0" shrinkToFit="false"/>
      <protection locked="true" hidden="false"/>
    </xf>
    <xf numFmtId="164" fontId="25" fillId="0" borderId="0" xfId="0" applyFont="true" applyBorder="false" applyAlignment="true" applyProtection="false">
      <alignment horizontal="left" vertical="center" textRotation="0" wrapText="false" indent="0" shrinkToFit="false"/>
      <protection locked="true" hidden="false"/>
    </xf>
    <xf numFmtId="164" fontId="12" fillId="3" borderId="1" xfId="0" applyFont="true" applyBorder="true" applyAlignment="true" applyProtection="false">
      <alignment horizontal="left" vertical="center" textRotation="0" wrapText="false" indent="0" shrinkToFit="false"/>
      <protection locked="true" hidden="false"/>
    </xf>
    <xf numFmtId="167" fontId="10" fillId="4" borderId="1" xfId="0" applyFont="true" applyBorder="true" applyAlignment="true" applyProtection="false">
      <alignment horizontal="right"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68" fontId="10" fillId="4" borderId="1" xfId="0" applyFont="true" applyBorder="true" applyAlignment="true" applyProtection="false">
      <alignment horizontal="right" vertical="center" textRotation="0" wrapText="false" indent="0" shrinkToFit="false"/>
      <protection locked="true" hidden="false"/>
    </xf>
    <xf numFmtId="169" fontId="10" fillId="4" borderId="1" xfId="0" applyFont="true" applyBorder="true" applyAlignment="true" applyProtection="false">
      <alignment horizontal="right" vertical="center" textRotation="0" wrapText="false" indent="0" shrinkToFit="false"/>
      <protection locked="true" hidden="false"/>
    </xf>
    <xf numFmtId="166" fontId="10" fillId="4" borderId="1" xfId="0" applyFont="true" applyBorder="true" applyAlignment="true" applyProtection="false">
      <alignment horizontal="right" vertical="center" textRotation="0" wrapText="false" indent="0" shrinkToFit="false"/>
      <protection locked="true" hidden="false"/>
    </xf>
    <xf numFmtId="170" fontId="10" fillId="4" borderId="1" xfId="0" applyFont="true" applyBorder="true" applyAlignment="true" applyProtection="false">
      <alignment horizontal="right" vertical="center" textRotation="0" wrapText="false" indent="0" shrinkToFit="false"/>
      <protection locked="true" hidden="false"/>
    </xf>
    <xf numFmtId="171" fontId="10" fillId="4" borderId="1" xfId="0" applyFont="true" applyBorder="true" applyAlignment="true" applyProtection="false">
      <alignment horizontal="right" vertical="center" textRotation="0" wrapText="fals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72" fontId="23" fillId="0" borderId="1" xfId="0" applyFont="true" applyBorder="true" applyAlignment="true" applyProtection="false">
      <alignment horizontal="right" vertical="center" textRotation="0" wrapText="false" indent="0" shrinkToFit="false"/>
      <protection locked="true" hidden="false"/>
    </xf>
    <xf numFmtId="173" fontId="23" fillId="0" borderId="1" xfId="0" applyFont="true" applyBorder="true" applyAlignment="true" applyProtection="false">
      <alignment horizontal="right"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27" fillId="0" borderId="1"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29" fillId="6" borderId="1" xfId="0" applyFont="true" applyBorder="true" applyAlignment="true" applyProtection="false">
      <alignment horizontal="left" vertical="center" textRotation="0" wrapText="true" indent="0" shrinkToFit="false"/>
      <protection locked="true" hidden="false"/>
    </xf>
    <xf numFmtId="164" fontId="28" fillId="0" borderId="1" xfId="0" applyFont="true" applyBorder="true" applyAlignment="true" applyProtection="false">
      <alignment horizontal="left" vertical="center" textRotation="0" wrapText="true" indent="0" shrinkToFit="false"/>
      <protection locked="true" hidden="false"/>
    </xf>
    <xf numFmtId="164" fontId="31" fillId="7" borderId="1" xfId="0" applyFont="true" applyBorder="true" applyAlignment="true" applyProtection="false">
      <alignment horizontal="left" vertical="center" textRotation="0" wrapText="true" indent="0" shrinkToFit="false"/>
      <protection locked="true" hidden="false"/>
    </xf>
    <xf numFmtId="164" fontId="32" fillId="7" borderId="1" xfId="0" applyFont="true" applyBorder="true" applyAlignment="true" applyProtection="false">
      <alignment horizontal="left" vertical="center" textRotation="0" wrapText="true" indent="0" shrinkToFit="false"/>
      <protection locked="true" hidden="false"/>
    </xf>
    <xf numFmtId="164" fontId="30" fillId="6"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33" fillId="6" borderId="1" xfId="0" applyFont="true" applyBorder="true" applyAlignment="true" applyProtection="false">
      <alignment horizontal="left" vertical="center" textRotation="0" wrapText="true" indent="0" shrinkToFit="false"/>
      <protection locked="true" hidden="false"/>
    </xf>
    <xf numFmtId="164" fontId="34" fillId="0" borderId="1" xfId="0" applyFont="true" applyBorder="true" applyAlignment="true" applyProtection="false">
      <alignment horizontal="left" vertical="center" textRotation="0" wrapText="true" indent="0" shrinkToFit="false"/>
      <protection locked="true" hidden="false"/>
    </xf>
    <xf numFmtId="164" fontId="35" fillId="7" borderId="1"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4" fontId="36"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37" fillId="0" borderId="0" xfId="0" applyFont="true" applyBorder="false" applyAlignment="true" applyProtection="false">
      <alignment horizontal="left" vertical="center" textRotation="0" wrapText="false" indent="0" shrinkToFit="false"/>
      <protection locked="true" hidden="false"/>
    </xf>
    <xf numFmtId="164" fontId="39" fillId="0" borderId="0"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40" fillId="0"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E6B4A"/>
      <rgbColor rgb="FFC0C0C0"/>
      <rgbColor rgb="FF6C7A87"/>
      <rgbColor rgb="FF9999FF"/>
      <rgbColor rgb="FFB05A1E"/>
      <rgbColor rgb="FFFFF6D9"/>
      <rgbColor rgb="FFDFF0E6"/>
      <rgbColor rgb="FF660066"/>
      <rgbColor rgb="FFFF8080"/>
      <rgbColor rgb="FF0066CC"/>
      <rgbColor rgb="FFC9D4DC"/>
      <rgbColor rgb="FF000080"/>
      <rgbColor rgb="FFFF00FF"/>
      <rgbColor rgb="FFFFFF00"/>
      <rgbColor rgb="FF00FFFF"/>
      <rgbColor rgb="FF800080"/>
      <rgbColor rgb="FF800000"/>
      <rgbColor rgb="FF008080"/>
      <rgbColor rgb="FF0000FF"/>
      <rgbColor rgb="FF00CCFF"/>
      <rgbColor rgb="FFDCE6EE"/>
      <rgbColor rgb="FFF2F5F7"/>
      <rgbColor rgb="FFFFFF99"/>
      <rgbColor rgb="FF99CCFF"/>
      <rgbColor rgb="FFFF99CC"/>
      <rgbColor rgb="FFCC99FF"/>
      <rgbColor rgb="FFFBE3E1"/>
      <rgbColor rgb="FF3366FF"/>
      <rgbColor rgb="FF33CCCC"/>
      <rgbColor rgb="FF99CC00"/>
      <rgbColor rgb="FFFFCC00"/>
      <rgbColor rgb="FFFF9900"/>
      <rgbColor rgb="FFFF6600"/>
      <rgbColor rgb="FF666699"/>
      <rgbColor rgb="FF969696"/>
      <rgbColor rgb="FF1B3A57"/>
      <rgbColor rgb="FF339966"/>
      <rgbColor rgb="FF003300"/>
      <rgbColor rgb="FF333300"/>
      <rgbColor rgb="FF9E2F27"/>
      <rgbColor rgb="FF993366"/>
      <rgbColor rgb="FF333399"/>
      <rgbColor rgb="FF1A24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4" min="2" style="0" width="16"/>
    <col collapsed="false" customWidth="true" hidden="false" outlineLevel="0" max="5" min="5" style="0" width="34"/>
    <col collapsed="false" customWidth="true" hidden="false" outlineLevel="0" max="6" min="6" style="0" width="4"/>
  </cols>
  <sheetData>
    <row r="1" customFormat="false" ht="24" hidden="false" customHeight="true" outlineLevel="0" collapsed="false">
      <c r="A1" s="1" t="s">
        <v>0</v>
      </c>
    </row>
    <row r="2" customFormat="false" ht="15" hidden="false" customHeight="false" outlineLevel="0" collapsed="false">
      <c r="A2" s="2" t="s">
        <v>1</v>
      </c>
    </row>
    <row r="4" customFormat="false" ht="21.75" hidden="false" customHeight="true" outlineLevel="0" collapsed="false">
      <c r="A4" s="3" t="s">
        <v>2</v>
      </c>
      <c r="B4" s="3" t="s">
        <v>3</v>
      </c>
      <c r="C4" s="3" t="s">
        <v>4</v>
      </c>
      <c r="D4" s="3" t="s">
        <v>5</v>
      </c>
      <c r="E4" s="3" t="s">
        <v>6</v>
      </c>
    </row>
    <row r="5" customFormat="false" ht="21.75" hidden="false" customHeight="true" outlineLevel="0" collapsed="false">
      <c r="A5" s="4" t="s">
        <v>7</v>
      </c>
      <c r="B5" s="5" t="n">
        <v>50</v>
      </c>
      <c r="C5" s="5" t="n">
        <v>100</v>
      </c>
      <c r="D5" s="5" t="n">
        <v>300</v>
      </c>
      <c r="E5" s="6" t="s">
        <v>8</v>
      </c>
    </row>
    <row r="7" customFormat="false" ht="15" hidden="false" customHeight="false" outlineLevel="0" collapsed="false">
      <c r="A7" s="7" t="s">
        <v>9</v>
      </c>
      <c r="B7" s="8"/>
      <c r="C7" s="8"/>
      <c r="D7" s="8"/>
      <c r="E7" s="8"/>
    </row>
    <row r="8" customFormat="false" ht="15" hidden="false" customHeight="false" outlineLevel="0" collapsed="false">
      <c r="A8" s="9" t="s">
        <v>10</v>
      </c>
      <c r="B8" s="10" t="n">
        <f aca="false">02_単価と前提!$B$15</f>
        <v>80000</v>
      </c>
      <c r="C8" s="10" t="n">
        <f aca="false">02_単価と前提!$B$15</f>
        <v>80000</v>
      </c>
      <c r="D8" s="10" t="n">
        <f aca="false">02_単価と前提!$B$15</f>
        <v>80000</v>
      </c>
      <c r="E8" s="11" t="s">
        <v>11</v>
      </c>
    </row>
    <row r="9" customFormat="false" ht="25.35" hidden="false" customHeight="false" outlineLevel="0" collapsed="false">
      <c r="A9" s="9" t="s">
        <v>12</v>
      </c>
      <c r="B9" s="10" t="n">
        <f aca="false">02_単価と前提!$B$24-02_単価と前提!$B$15</f>
        <v>24200</v>
      </c>
      <c r="C9" s="10" t="n">
        <f aca="false">02_単価と前提!$B$24-02_単価と前提!$B$15</f>
        <v>24200</v>
      </c>
      <c r="D9" s="10" t="n">
        <f aca="false">02_単価と前提!$B$24-02_単価と前提!$B$15</f>
        <v>24200</v>
      </c>
      <c r="E9" s="11" t="s">
        <v>13</v>
      </c>
    </row>
    <row r="10" customFormat="false" ht="15" hidden="false" customHeight="false" outlineLevel="0" collapsed="false">
      <c r="A10" s="12" t="s">
        <v>14</v>
      </c>
      <c r="B10" s="13" t="n">
        <f aca="false">SUM(B8:B9)</f>
        <v>104200</v>
      </c>
      <c r="C10" s="13" t="n">
        <f aca="false">SUM(C8:C9)</f>
        <v>104200</v>
      </c>
      <c r="D10" s="13" t="n">
        <f aca="false">SUM(D8:D9)</f>
        <v>104200</v>
      </c>
      <c r="E10" s="14"/>
    </row>
    <row r="12" customFormat="false" ht="15" hidden="false" customHeight="false" outlineLevel="0" collapsed="false">
      <c r="A12" s="7" t="s">
        <v>15</v>
      </c>
      <c r="B12" s="8"/>
      <c r="C12" s="8"/>
      <c r="D12" s="8"/>
      <c r="E12" s="8"/>
    </row>
    <row r="13" customFormat="false" ht="24" hidden="false" customHeight="true" outlineLevel="0" collapsed="false">
      <c r="A13" s="15" t="s">
        <v>16</v>
      </c>
      <c r="B13" s="10" t="n">
        <f aca="false">ROUND(MAX(0,$B$5*02_単価と前提!$B$6-02_単価と前提!$B$11)*02_単価と前提!$B$28,0)</f>
        <v>0</v>
      </c>
      <c r="C13" s="10" t="n">
        <f aca="false">ROUND(MAX(0,$C$5*02_単価と前提!$B$6-02_単価と前提!$B$11)*02_単価と前提!$B$28,0)</f>
        <v>0</v>
      </c>
      <c r="D13" s="10" t="n">
        <f aca="false">ROUND(MAX(0,$D$5*02_単価と前提!$B$6-02_単価と前提!$B$11)*02_単価と前提!$B$28,0)</f>
        <v>445</v>
      </c>
      <c r="E13" s="11" t="s">
        <v>17</v>
      </c>
    </row>
    <row r="14" customFormat="false" ht="24" hidden="false" customHeight="true" outlineLevel="0" collapsed="false">
      <c r="A14" s="15" t="s">
        <v>18</v>
      </c>
      <c r="B14" s="10" t="n">
        <f aca="false">ROUND((50+$B$5*0.02)*02_単価と前提!$B$29,0)</f>
        <v>191</v>
      </c>
      <c r="C14" s="10" t="n">
        <f aca="false">ROUND((50+$C$5*0.02)*02_単価と前提!$B$29,0)</f>
        <v>195</v>
      </c>
      <c r="D14" s="10" t="n">
        <f aca="false">ROUND((50+$D$5*0.02)*02_単価と前提!$B$29,0)</f>
        <v>210</v>
      </c>
      <c r="E14" s="11" t="s">
        <v>19</v>
      </c>
    </row>
    <row r="15" customFormat="false" ht="24" hidden="false" customHeight="true" outlineLevel="0" collapsed="false">
      <c r="A15" s="15" t="s">
        <v>20</v>
      </c>
      <c r="B15" s="10" t="n">
        <f aca="false">ROUND($B$5*02_単価と前提!$B$7*02_単価と前提!$B$30,0)</f>
        <v>165</v>
      </c>
      <c r="C15" s="10" t="n">
        <f aca="false">ROUND($C$5*02_単価と前提!$B$7*02_単価と前提!$B$30,0)</f>
        <v>330</v>
      </c>
      <c r="D15" s="10" t="n">
        <f aca="false">ROUND($D$5*02_単価と前提!$B$7*02_単価と前提!$B$30,0)</f>
        <v>990</v>
      </c>
      <c r="E15" s="11" t="s">
        <v>21</v>
      </c>
    </row>
    <row r="16" customFormat="false" ht="24" hidden="false" customHeight="true" outlineLevel="0" collapsed="false">
      <c r="A16" s="15" t="s">
        <v>22</v>
      </c>
      <c r="B16" s="10" t="n">
        <f aca="false">ROUND($B$5*02_単価と前提!$B$8*02_単価と前提!$B$31,0)</f>
        <v>146</v>
      </c>
      <c r="C16" s="10" t="n">
        <f aca="false">ROUND($C$5*02_単価と前提!$B$8*02_単価と前提!$B$31,0)</f>
        <v>293</v>
      </c>
      <c r="D16" s="10" t="n">
        <f aca="false">ROUND($D$5*02_単価と前提!$B$8*02_単価と前提!$B$31,0)</f>
        <v>878</v>
      </c>
      <c r="E16" s="11" t="s">
        <v>23</v>
      </c>
    </row>
    <row r="17" customFormat="false" ht="24" hidden="false" customHeight="true" outlineLevel="0" collapsed="false">
      <c r="A17" s="15" t="s">
        <v>24</v>
      </c>
      <c r="B17" s="10" t="n">
        <f aca="false">ROUND($B$5*5*02_単価と前提!$B$32,0)</f>
        <v>5</v>
      </c>
      <c r="C17" s="10" t="n">
        <f aca="false">ROUND($C$5*5*02_単価と前提!$B$32,0)</f>
        <v>10</v>
      </c>
      <c r="D17" s="10" t="n">
        <f aca="false">ROUND($D$5*5*02_単価と前提!$B$32,0)</f>
        <v>30</v>
      </c>
      <c r="E17" s="11" t="s">
        <v>25</v>
      </c>
    </row>
    <row r="18" customFormat="false" ht="15" hidden="false" customHeight="false" outlineLevel="0" collapsed="false">
      <c r="A18" s="12" t="s">
        <v>26</v>
      </c>
      <c r="B18" s="13" t="n">
        <f aca="false">SUM(B13:B17)</f>
        <v>507</v>
      </c>
      <c r="C18" s="13" t="n">
        <f aca="false">SUM(C13:C17)</f>
        <v>828</v>
      </c>
      <c r="D18" s="13" t="n">
        <f aca="false">SUM(D13:D17)</f>
        <v>2553</v>
      </c>
      <c r="E18" s="14"/>
    </row>
    <row r="20" customFormat="false" ht="25.5" hidden="false" customHeight="true" outlineLevel="0" collapsed="false">
      <c r="A20" s="16" t="s">
        <v>27</v>
      </c>
      <c r="B20" s="17" t="n">
        <f aca="false">B10+B18</f>
        <v>104707</v>
      </c>
      <c r="C20" s="17" t="n">
        <f aca="false">C10+C18</f>
        <v>105028</v>
      </c>
      <c r="D20" s="17" t="n">
        <f aca="false">D10+D18</f>
        <v>106753</v>
      </c>
      <c r="E20" s="6" t="s">
        <v>28</v>
      </c>
    </row>
    <row r="21" customFormat="false" ht="15" hidden="false" customHeight="false" outlineLevel="0" collapsed="false">
      <c r="A21" s="9" t="s">
        <v>29</v>
      </c>
      <c r="B21" s="18" t="n">
        <f aca="false">ROUND(B20/B5,0)</f>
        <v>2094</v>
      </c>
      <c r="C21" s="18" t="n">
        <f aca="false">ROUND(C20/C5,0)</f>
        <v>1050</v>
      </c>
      <c r="D21" s="18" t="n">
        <f aca="false">ROUND(D20/D5,0)</f>
        <v>356</v>
      </c>
      <c r="E21" s="11" t="s">
        <v>30</v>
      </c>
    </row>
    <row r="23" customFormat="false" ht="15" hidden="false" customHeight="false" outlineLevel="0" collapsed="false">
      <c r="A23" s="19" t="s">
        <v>31</v>
      </c>
      <c r="B23" s="8"/>
      <c r="C23" s="8"/>
      <c r="D23" s="8"/>
      <c r="E23" s="8"/>
    </row>
    <row r="24" customFormat="false" ht="24" hidden="false" customHeight="true" outlineLevel="0" collapsed="false">
      <c r="A24" s="15" t="s">
        <v>32</v>
      </c>
      <c r="B24" s="20" t="n">
        <f aca="false">ROUND($B$5*02_単価と前提!$B$9*02_単価と前提!$B$10,0)</f>
        <v>18000</v>
      </c>
      <c r="C24" s="20" t="n">
        <f aca="false">ROUND($C$5*02_単価と前提!$B$9*02_単価と前提!$B$10,0)</f>
        <v>36000</v>
      </c>
      <c r="D24" s="20" t="n">
        <f aca="false">ROUND($D$5*02_単価と前提!$B$9*02_単価と前提!$B$10,0)</f>
        <v>108000</v>
      </c>
      <c r="E24" s="11" t="s">
        <v>33</v>
      </c>
    </row>
    <row r="25" customFormat="false" ht="15" hidden="false" customHeight="false" outlineLevel="0" collapsed="false">
      <c r="A25" s="15" t="s">
        <v>34</v>
      </c>
      <c r="B25" s="21" t="n">
        <f aca="false">$B$5*02_単価と前提!$B$9</f>
        <v>500000</v>
      </c>
      <c r="C25" s="21" t="n">
        <f aca="false">$C$5*02_単価と前提!$B$9</f>
        <v>1000000</v>
      </c>
      <c r="D25" s="21" t="n">
        <f aca="false">$D$5*02_単価と前提!$B$9</f>
        <v>3000000</v>
      </c>
      <c r="E25" s="22" t="s">
        <v>35</v>
      </c>
    </row>
    <row r="26" customFormat="false" ht="25.35" hidden="false" customHeight="false" outlineLevel="0" collapsed="false">
      <c r="A26" s="9" t="s">
        <v>36</v>
      </c>
      <c r="B26" s="23" t="n">
        <f aca="false">B25-B20-B24</f>
        <v>377293</v>
      </c>
      <c r="C26" s="23" t="n">
        <f aca="false">C25-C20-C24</f>
        <v>858972</v>
      </c>
      <c r="D26" s="23" t="n">
        <f aca="false">D25-D20-D24</f>
        <v>2785247</v>
      </c>
      <c r="E26" s="11" t="s">
        <v>37</v>
      </c>
    </row>
    <row r="28" customFormat="false" ht="15" hidden="false" customHeight="false" outlineLevel="0" collapsed="false">
      <c r="A28" s="24" t="s">
        <v>38</v>
      </c>
    </row>
    <row r="29" customFormat="false" ht="15" hidden="false" customHeight="false" outlineLevel="0" collapsed="false">
      <c r="A29" s="25" t="s">
        <v>39</v>
      </c>
    </row>
    <row r="30" customFormat="false" ht="15" hidden="false" customHeight="false" outlineLevel="0" collapsed="false">
      <c r="A30" s="25" t="s">
        <v>40</v>
      </c>
    </row>
    <row r="31" customFormat="false" ht="15" hidden="false" customHeight="false" outlineLevel="0" collapsed="false">
      <c r="A31" s="25" t="s">
        <v>41</v>
      </c>
    </row>
    <row r="32" customFormat="false" ht="15" hidden="false" customHeight="false" outlineLevel="0" collapsed="false">
      <c r="A32" s="25"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5"/>
    <col collapsed="false" customWidth="true" hidden="false" outlineLevel="0" max="3" min="3" style="0" width="30"/>
    <col collapsed="false" customWidth="true" hidden="false" outlineLevel="0" max="5" min="4" style="0" width="22"/>
  </cols>
  <sheetData>
    <row r="1" customFormat="false" ht="24" hidden="false" customHeight="true" outlineLevel="0" collapsed="false">
      <c r="A1" s="1" t="s">
        <v>43</v>
      </c>
    </row>
    <row r="2" customFormat="false" ht="15" hidden="false" customHeight="false" outlineLevel="0" collapsed="false">
      <c r="A2" s="2" t="s">
        <v>44</v>
      </c>
    </row>
    <row r="4" customFormat="false" ht="15" hidden="false" customHeight="false" outlineLevel="0" collapsed="false">
      <c r="A4" s="26" t="s">
        <v>45</v>
      </c>
      <c r="B4" s="8"/>
      <c r="C4" s="8"/>
      <c r="D4" s="8"/>
      <c r="E4" s="8"/>
    </row>
    <row r="5" customFormat="false" ht="21.75" hidden="false" customHeight="true" outlineLevel="0" collapsed="false">
      <c r="A5" s="9" t="s">
        <v>46</v>
      </c>
      <c r="B5" s="27" t="n">
        <v>150</v>
      </c>
      <c r="C5" s="28" t="s">
        <v>47</v>
      </c>
      <c r="D5" s="28"/>
      <c r="E5" s="28"/>
    </row>
    <row r="6" customFormat="false" ht="21.75" hidden="false" customHeight="true" outlineLevel="0" collapsed="false">
      <c r="A6" s="29" t="s">
        <v>48</v>
      </c>
      <c r="B6" s="30" t="n">
        <v>3.5</v>
      </c>
      <c r="C6" s="11" t="s">
        <v>49</v>
      </c>
      <c r="D6" s="11"/>
      <c r="E6" s="11"/>
    </row>
    <row r="7" customFormat="false" ht="21.75" hidden="false" customHeight="true" outlineLevel="0" collapsed="false">
      <c r="A7" s="29" t="s">
        <v>50</v>
      </c>
      <c r="B7" s="31" t="n">
        <v>22</v>
      </c>
      <c r="C7" s="11" t="s">
        <v>51</v>
      </c>
      <c r="D7" s="11"/>
      <c r="E7" s="11"/>
    </row>
    <row r="8" customFormat="false" ht="21.75" hidden="false" customHeight="true" outlineLevel="0" collapsed="false">
      <c r="A8" s="29" t="s">
        <v>52</v>
      </c>
      <c r="B8" s="31" t="n">
        <v>1</v>
      </c>
      <c r="C8" s="11" t="s">
        <v>53</v>
      </c>
      <c r="D8" s="11"/>
      <c r="E8" s="11"/>
    </row>
    <row r="9" customFormat="false" ht="21.75" hidden="false" customHeight="true" outlineLevel="0" collapsed="false">
      <c r="A9" s="9" t="s">
        <v>54</v>
      </c>
      <c r="B9" s="32" t="n">
        <v>10000</v>
      </c>
      <c r="C9" s="11" t="s">
        <v>55</v>
      </c>
      <c r="D9" s="11"/>
      <c r="E9" s="11"/>
    </row>
    <row r="10" customFormat="false" ht="21.75" hidden="false" customHeight="true" outlineLevel="0" collapsed="false">
      <c r="A10" s="9" t="s">
        <v>56</v>
      </c>
      <c r="B10" s="33" t="n">
        <v>0.036</v>
      </c>
      <c r="C10" s="11" t="s">
        <v>57</v>
      </c>
      <c r="D10" s="11"/>
      <c r="E10" s="11"/>
    </row>
    <row r="11" customFormat="false" ht="21.75" hidden="false" customHeight="true" outlineLevel="0" collapsed="false">
      <c r="A11" s="29" t="s">
        <v>58</v>
      </c>
      <c r="B11" s="34" t="n">
        <v>1024</v>
      </c>
      <c r="C11" s="28" t="s">
        <v>59</v>
      </c>
      <c r="D11" s="28"/>
      <c r="E11" s="28"/>
    </row>
    <row r="13" customFormat="false" ht="15" hidden="false" customHeight="false" outlineLevel="0" collapsed="false">
      <c r="A13" s="7" t="s">
        <v>60</v>
      </c>
      <c r="B13" s="8"/>
      <c r="C13" s="8"/>
      <c r="D13" s="8"/>
      <c r="E13" s="8"/>
    </row>
    <row r="14" customFormat="false" ht="21.75" hidden="false" customHeight="true" outlineLevel="0" collapsed="false">
      <c r="A14" s="3" t="s">
        <v>2</v>
      </c>
      <c r="B14" s="3" t="s">
        <v>61</v>
      </c>
      <c r="C14" s="3" t="s">
        <v>62</v>
      </c>
      <c r="D14" s="3" t="s">
        <v>63</v>
      </c>
      <c r="E14" s="3" t="s">
        <v>64</v>
      </c>
    </row>
    <row r="15" customFormat="false" ht="30" hidden="false" customHeight="true" outlineLevel="0" collapsed="false">
      <c r="A15" s="35" t="s">
        <v>10</v>
      </c>
      <c r="B15" s="32" t="n">
        <v>80000</v>
      </c>
      <c r="C15" s="11" t="s">
        <v>65</v>
      </c>
      <c r="D15" s="36" t="s">
        <v>66</v>
      </c>
      <c r="E15" s="11" t="s">
        <v>67</v>
      </c>
    </row>
    <row r="16" customFormat="false" ht="30" hidden="false" customHeight="true" outlineLevel="0" collapsed="false">
      <c r="A16" s="35" t="s">
        <v>68</v>
      </c>
      <c r="B16" s="32" t="n">
        <v>4500</v>
      </c>
      <c r="C16" s="28" t="s">
        <v>69</v>
      </c>
      <c r="D16" s="37" t="s">
        <v>70</v>
      </c>
      <c r="E16" s="28" t="s">
        <v>71</v>
      </c>
    </row>
    <row r="17" customFormat="false" ht="30" hidden="false" customHeight="true" outlineLevel="0" collapsed="false">
      <c r="A17" s="35" t="s">
        <v>72</v>
      </c>
      <c r="B17" s="32" t="n">
        <v>5500</v>
      </c>
      <c r="C17" s="28" t="s">
        <v>73</v>
      </c>
      <c r="D17" s="37" t="s">
        <v>70</v>
      </c>
      <c r="E17" s="11" t="s">
        <v>74</v>
      </c>
    </row>
    <row r="18" customFormat="false" ht="30" hidden="false" customHeight="true" outlineLevel="0" collapsed="false">
      <c r="A18" s="35" t="s">
        <v>75</v>
      </c>
      <c r="B18" s="32" t="n">
        <v>2000</v>
      </c>
      <c r="C18" s="28" t="s">
        <v>76</v>
      </c>
      <c r="D18" s="37" t="s">
        <v>70</v>
      </c>
      <c r="E18" s="28" t="s">
        <v>77</v>
      </c>
    </row>
    <row r="19" customFormat="false" ht="30" hidden="false" customHeight="true" outlineLevel="0" collapsed="false">
      <c r="A19" s="35" t="s">
        <v>78</v>
      </c>
      <c r="B19" s="32" t="n">
        <v>3500</v>
      </c>
      <c r="C19" s="28" t="s">
        <v>79</v>
      </c>
      <c r="D19" s="37" t="s">
        <v>70</v>
      </c>
      <c r="E19" s="11"/>
    </row>
    <row r="20" customFormat="false" ht="30" hidden="false" customHeight="true" outlineLevel="0" collapsed="false">
      <c r="A20" s="35" t="s">
        <v>80</v>
      </c>
      <c r="B20" s="32" t="n">
        <v>200</v>
      </c>
      <c r="C20" s="11" t="s">
        <v>81</v>
      </c>
      <c r="D20" s="37" t="s">
        <v>82</v>
      </c>
      <c r="E20" s="11"/>
    </row>
    <row r="21" customFormat="false" ht="30" hidden="false" customHeight="true" outlineLevel="0" collapsed="false">
      <c r="A21" s="35" t="s">
        <v>83</v>
      </c>
      <c r="B21" s="32" t="n">
        <v>3000</v>
      </c>
      <c r="C21" s="28" t="s">
        <v>84</v>
      </c>
      <c r="D21" s="36" t="s">
        <v>85</v>
      </c>
      <c r="E21" s="11" t="s">
        <v>86</v>
      </c>
    </row>
    <row r="22" customFormat="false" ht="30" hidden="false" customHeight="true" outlineLevel="0" collapsed="false">
      <c r="A22" s="35" t="s">
        <v>87</v>
      </c>
      <c r="B22" s="32" t="n">
        <v>500</v>
      </c>
      <c r="C22" s="28" t="s">
        <v>88</v>
      </c>
      <c r="D22" s="37" t="s">
        <v>70</v>
      </c>
      <c r="E22" s="28" t="s">
        <v>89</v>
      </c>
    </row>
    <row r="23" customFormat="false" ht="30" hidden="false" customHeight="true" outlineLevel="0" collapsed="false">
      <c r="A23" s="35" t="s">
        <v>90</v>
      </c>
      <c r="B23" s="32" t="n">
        <v>5000</v>
      </c>
      <c r="C23" s="11" t="s">
        <v>91</v>
      </c>
      <c r="D23" s="36" t="s">
        <v>85</v>
      </c>
      <c r="E23" s="11" t="s">
        <v>92</v>
      </c>
    </row>
    <row r="24" customFormat="false" ht="15" hidden="false" customHeight="false" outlineLevel="0" collapsed="false">
      <c r="A24" s="12" t="s">
        <v>14</v>
      </c>
      <c r="B24" s="13" t="n">
        <f aca="false">SUM(B15:B23)</f>
        <v>104200</v>
      </c>
      <c r="C24" s="14"/>
      <c r="D24" s="14"/>
      <c r="E24" s="14"/>
    </row>
    <row r="26" customFormat="false" ht="15" hidden="false" customHeight="false" outlineLevel="0" collapsed="false">
      <c r="A26" s="7" t="s">
        <v>93</v>
      </c>
      <c r="B26" s="8"/>
      <c r="C26" s="8"/>
      <c r="D26" s="8"/>
      <c r="E26" s="8"/>
    </row>
    <row r="27" customFormat="false" ht="21.75" hidden="false" customHeight="true" outlineLevel="0" collapsed="false">
      <c r="A27" s="3" t="s">
        <v>2</v>
      </c>
      <c r="B27" s="3" t="s">
        <v>94</v>
      </c>
      <c r="C27" s="3" t="s">
        <v>95</v>
      </c>
      <c r="D27" s="3" t="s">
        <v>96</v>
      </c>
      <c r="E27" s="3" t="s">
        <v>64</v>
      </c>
    </row>
    <row r="28" customFormat="false" ht="25.5" hidden="false" customHeight="true" outlineLevel="0" collapsed="false">
      <c r="A28" s="35" t="s">
        <v>16</v>
      </c>
      <c r="B28" s="38" t="n">
        <f aca="false">0.114*$B$5</f>
        <v>17.1</v>
      </c>
      <c r="C28" s="36" t="s">
        <v>97</v>
      </c>
      <c r="D28" s="28" t="s">
        <v>98</v>
      </c>
      <c r="E28" s="11" t="s">
        <v>99</v>
      </c>
    </row>
    <row r="29" customFormat="false" ht="25.5" hidden="false" customHeight="true" outlineLevel="0" collapsed="false">
      <c r="A29" s="35" t="s">
        <v>18</v>
      </c>
      <c r="B29" s="38" t="n">
        <f aca="false">0.025*$B$5</f>
        <v>3.75</v>
      </c>
      <c r="C29" s="36" t="s">
        <v>100</v>
      </c>
      <c r="D29" s="28" t="s">
        <v>101</v>
      </c>
      <c r="E29" s="11" t="s">
        <v>102</v>
      </c>
    </row>
    <row r="30" customFormat="false" ht="25.5" hidden="false" customHeight="true" outlineLevel="0" collapsed="false">
      <c r="A30" s="35" t="s">
        <v>20</v>
      </c>
      <c r="B30" s="39" t="n">
        <f aca="false">0.001*$B$5</f>
        <v>0.15</v>
      </c>
      <c r="C30" s="36" t="s">
        <v>103</v>
      </c>
      <c r="D30" s="28" t="s">
        <v>104</v>
      </c>
      <c r="E30" s="11" t="s">
        <v>105</v>
      </c>
    </row>
    <row r="31" customFormat="false" ht="25.5" hidden="false" customHeight="true" outlineLevel="0" collapsed="false">
      <c r="A31" s="35" t="s">
        <v>22</v>
      </c>
      <c r="B31" s="39" t="n">
        <f aca="false">0.0195*$B$5</f>
        <v>2.925</v>
      </c>
      <c r="C31" s="36" t="s">
        <v>103</v>
      </c>
      <c r="D31" s="28" t="s">
        <v>106</v>
      </c>
      <c r="E31" s="11" t="s">
        <v>107</v>
      </c>
    </row>
    <row r="32" customFormat="false" ht="25.5" hidden="false" customHeight="true" outlineLevel="0" collapsed="false">
      <c r="A32" s="35" t="s">
        <v>24</v>
      </c>
      <c r="B32" s="39" t="n">
        <v>0.02</v>
      </c>
      <c r="C32" s="36" t="s">
        <v>108</v>
      </c>
      <c r="D32" s="28" t="s">
        <v>109</v>
      </c>
      <c r="E32" s="11" t="s">
        <v>110</v>
      </c>
    </row>
    <row r="34" customFormat="false" ht="15" hidden="false" customHeight="false" outlineLevel="0" collapsed="false">
      <c r="A34" s="24" t="s">
        <v>111</v>
      </c>
    </row>
    <row r="35" customFormat="false" ht="15" hidden="false" customHeight="false" outlineLevel="0" collapsed="false">
      <c r="A35" s="25" t="s">
        <v>112</v>
      </c>
    </row>
    <row r="36" customFormat="false" ht="15" hidden="false" customHeight="false" outlineLevel="0" collapsed="false">
      <c r="A36" s="25" t="s">
        <v>113</v>
      </c>
    </row>
    <row r="37" customFormat="false" ht="15" hidden="false" customHeight="false" outlineLevel="0" collapsed="false">
      <c r="A37" s="25" t="s">
        <v>114</v>
      </c>
    </row>
    <row r="38" customFormat="false" ht="15" hidden="false" customHeight="false" outlineLevel="0" collapsed="false">
      <c r="A38" s="25"/>
    </row>
    <row r="39" customFormat="false" ht="15" hidden="false" customHeight="false" outlineLevel="0" collapsed="false">
      <c r="A39" s="24" t="s">
        <v>115</v>
      </c>
    </row>
    <row r="40" customFormat="false" ht="15" hidden="false" customHeight="false" outlineLevel="0" collapsed="false">
      <c r="A40" s="25" t="s">
        <v>116</v>
      </c>
    </row>
    <row r="41" customFormat="false" ht="15" hidden="false" customHeight="false" outlineLevel="0" collapsed="false">
      <c r="A41" s="25" t="s">
        <v>117</v>
      </c>
    </row>
    <row r="42" customFormat="false" ht="15" hidden="false" customHeight="false" outlineLevel="0" collapsed="false">
      <c r="A42" s="25" t="s">
        <v>118</v>
      </c>
    </row>
  </sheetData>
  <mergeCells count="7">
    <mergeCell ref="C5:E5"/>
    <mergeCell ref="C6:E6"/>
    <mergeCell ref="C7:E7"/>
    <mergeCell ref="C8:E8"/>
    <mergeCell ref="C9:E9"/>
    <mergeCell ref="C10:E10"/>
    <mergeCell ref="C11:E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4" min="2" style="0" width="30"/>
  </cols>
  <sheetData>
    <row r="1" customFormat="false" ht="24" hidden="false" customHeight="true" outlineLevel="0" collapsed="false">
      <c r="A1" s="1" t="s">
        <v>119</v>
      </c>
    </row>
    <row r="2" customFormat="false" ht="15" hidden="false" customHeight="false" outlineLevel="0" collapsed="false">
      <c r="A2" s="2" t="s">
        <v>120</v>
      </c>
    </row>
    <row r="4" customFormat="false" ht="25.5" hidden="false" customHeight="true" outlineLevel="0" collapsed="false">
      <c r="A4" s="3" t="s">
        <v>121</v>
      </c>
      <c r="B4" s="3" t="s">
        <v>122</v>
      </c>
      <c r="C4" s="40" t="s">
        <v>123</v>
      </c>
      <c r="D4" s="40" t="s">
        <v>124</v>
      </c>
    </row>
    <row r="5" customFormat="false" ht="33.75" hidden="false" customHeight="true" outlineLevel="0" collapsed="false">
      <c r="A5" s="41" t="s">
        <v>125</v>
      </c>
      <c r="B5" s="42" t="s">
        <v>126</v>
      </c>
      <c r="C5" s="42" t="s">
        <v>127</v>
      </c>
      <c r="D5" s="42" t="s">
        <v>128</v>
      </c>
    </row>
    <row r="6" customFormat="false" ht="25.5" hidden="false" customHeight="true" outlineLevel="0" collapsed="false">
      <c r="A6" s="43" t="s">
        <v>129</v>
      </c>
      <c r="B6" s="44" t="s">
        <v>130</v>
      </c>
      <c r="C6" s="45" t="s">
        <v>131</v>
      </c>
      <c r="D6" s="46" t="s">
        <v>132</v>
      </c>
    </row>
    <row r="7" customFormat="false" ht="25.5" hidden="false" customHeight="true" outlineLevel="0" collapsed="false">
      <c r="A7" s="43" t="s">
        <v>133</v>
      </c>
      <c r="B7" s="44" t="s">
        <v>134</v>
      </c>
      <c r="C7" s="45" t="s">
        <v>131</v>
      </c>
      <c r="D7" s="46" t="s">
        <v>135</v>
      </c>
    </row>
    <row r="8" customFormat="false" ht="25.5" hidden="false" customHeight="true" outlineLevel="0" collapsed="false">
      <c r="A8" s="43" t="s">
        <v>136</v>
      </c>
      <c r="B8" s="44" t="s">
        <v>137</v>
      </c>
      <c r="C8" s="45" t="s">
        <v>138</v>
      </c>
      <c r="D8" s="47" t="s">
        <v>139</v>
      </c>
    </row>
    <row r="9" customFormat="false" ht="25.5" hidden="false" customHeight="true" outlineLevel="0" collapsed="false">
      <c r="A9" s="41" t="s">
        <v>140</v>
      </c>
      <c r="B9" s="44" t="s">
        <v>141</v>
      </c>
      <c r="C9" s="45" t="s">
        <v>138</v>
      </c>
      <c r="D9" s="47" t="s">
        <v>139</v>
      </c>
    </row>
    <row r="10" customFormat="false" ht="25.5" hidden="false" customHeight="true" outlineLevel="0" collapsed="false">
      <c r="A10" s="43" t="s">
        <v>142</v>
      </c>
      <c r="B10" s="44" t="s">
        <v>143</v>
      </c>
      <c r="C10" s="45" t="s">
        <v>144</v>
      </c>
      <c r="D10" s="46" t="s">
        <v>145</v>
      </c>
    </row>
    <row r="11" customFormat="false" ht="25.5" hidden="false" customHeight="true" outlineLevel="0" collapsed="false">
      <c r="A11" s="43" t="s">
        <v>146</v>
      </c>
      <c r="B11" s="48" t="s">
        <v>147</v>
      </c>
      <c r="C11" s="45" t="s">
        <v>148</v>
      </c>
      <c r="D11" s="47" t="s">
        <v>149</v>
      </c>
    </row>
    <row r="12" customFormat="false" ht="25.5" hidden="false" customHeight="true" outlineLevel="0" collapsed="false">
      <c r="A12" s="41" t="s">
        <v>150</v>
      </c>
      <c r="B12" s="48" t="s">
        <v>147</v>
      </c>
      <c r="C12" s="45" t="s">
        <v>151</v>
      </c>
      <c r="D12" s="47" t="s">
        <v>152</v>
      </c>
    </row>
    <row r="13" customFormat="false" ht="25.5" hidden="false" customHeight="true" outlineLevel="0" collapsed="false">
      <c r="A13" s="41" t="s">
        <v>153</v>
      </c>
      <c r="B13" s="48" t="s">
        <v>147</v>
      </c>
      <c r="C13" s="45" t="s">
        <v>154</v>
      </c>
      <c r="D13" s="47" t="s">
        <v>155</v>
      </c>
    </row>
    <row r="14" customFormat="false" ht="25.5" hidden="false" customHeight="true" outlineLevel="0" collapsed="false">
      <c r="A14" s="41" t="s">
        <v>156</v>
      </c>
      <c r="B14" s="42" t="s">
        <v>157</v>
      </c>
      <c r="C14" s="45" t="s">
        <v>158</v>
      </c>
      <c r="D14" s="47" t="s">
        <v>159</v>
      </c>
    </row>
    <row r="15" customFormat="false" ht="25.5" hidden="false" customHeight="true" outlineLevel="0" collapsed="false">
      <c r="A15" s="41" t="s">
        <v>160</v>
      </c>
      <c r="B15" s="42" t="s">
        <v>157</v>
      </c>
      <c r="C15" s="45" t="s">
        <v>161</v>
      </c>
      <c r="D15" s="45" t="s">
        <v>162</v>
      </c>
    </row>
    <row r="16" customFormat="false" ht="25.5" hidden="false" customHeight="true" outlineLevel="0" collapsed="false">
      <c r="A16" s="49" t="s">
        <v>163</v>
      </c>
      <c r="B16" s="50" t="s">
        <v>164</v>
      </c>
      <c r="C16" s="51" t="s">
        <v>165</v>
      </c>
      <c r="D16" s="52" t="s">
        <v>166</v>
      </c>
    </row>
    <row r="18" customFormat="false" ht="15" hidden="false" customHeight="false" outlineLevel="0" collapsed="false">
      <c r="A18" s="53" t="s">
        <v>167</v>
      </c>
    </row>
    <row r="19" customFormat="false" ht="15" hidden="false" customHeight="false" outlineLevel="0" collapsed="false">
      <c r="A19" s="54" t="s">
        <v>168</v>
      </c>
    </row>
    <row r="20" customFormat="false" ht="15" hidden="false" customHeight="false" outlineLevel="0" collapsed="false">
      <c r="A20" s="55" t="s">
        <v>169</v>
      </c>
    </row>
    <row r="21" customFormat="false" ht="15" hidden="false" customHeight="false" outlineLevel="0" collapsed="false">
      <c r="A21" s="55"/>
    </row>
    <row r="22" customFormat="false" ht="15" hidden="false" customHeight="false" outlineLevel="0" collapsed="false">
      <c r="A22" s="56" t="s">
        <v>170</v>
      </c>
    </row>
    <row r="23" customFormat="false" ht="15" hidden="false" customHeight="false" outlineLevel="0" collapsed="false">
      <c r="A23" s="55" t="s">
        <v>171</v>
      </c>
    </row>
    <row r="24" customFormat="false" ht="15" hidden="false" customHeight="false" outlineLevel="0" collapsed="false">
      <c r="A24" s="55"/>
    </row>
    <row r="25" customFormat="false" ht="15" hidden="false" customHeight="false" outlineLevel="0" collapsed="false">
      <c r="A25" s="57" t="s">
        <v>172</v>
      </c>
    </row>
    <row r="26" customFormat="false" ht="15" hidden="false" customHeight="false" outlineLevel="0" collapsed="false">
      <c r="A26" s="55" t="s">
        <v>173</v>
      </c>
    </row>
    <row r="27" customFormat="false" ht="15" hidden="false" customHeight="false" outlineLevel="0" collapsed="false">
      <c r="A27" s="55" t="s">
        <v>174</v>
      </c>
    </row>
    <row r="28" customFormat="false" ht="15" hidden="false" customHeight="false" outlineLevel="0" collapsed="false">
      <c r="A28" s="55" t="s">
        <v>175</v>
      </c>
    </row>
    <row r="29" customFormat="false" ht="15" hidden="false" customHeight="false" outlineLevel="0" collapsed="false">
      <c r="A29" s="55"/>
    </row>
    <row r="30" customFormat="false" ht="15" hidden="false" customHeight="false" outlineLevel="0" collapsed="false">
      <c r="A30" s="55" t="s">
        <v>176</v>
      </c>
    </row>
    <row r="31" customFormat="false" ht="15" hidden="false" customHeight="false" outlineLevel="0" collapsed="false">
      <c r="A31" s="55" t="s">
        <v>177</v>
      </c>
    </row>
    <row r="32" customFormat="false" ht="15" hidden="false" customHeight="false" outlineLevel="0" collapsed="false">
      <c r="A32" s="55"/>
    </row>
    <row r="33" customFormat="false" ht="15" hidden="false" customHeight="false" outlineLevel="0" collapsed="false">
      <c r="A33" s="53" t="s">
        <v>178</v>
      </c>
    </row>
    <row r="34" customFormat="false" ht="15" hidden="false" customHeight="false" outlineLevel="0" collapsed="false">
      <c r="A34" s="55" t="s">
        <v>179</v>
      </c>
    </row>
    <row r="35" customFormat="false" ht="15" hidden="false" customHeight="false" outlineLevel="0" collapsed="false">
      <c r="A35" s="55" t="s">
        <v>180</v>
      </c>
    </row>
    <row r="36" customFormat="false" ht="15" hidden="false" customHeight="false" outlineLevel="0" collapsed="false">
      <c r="A36" s="55" t="s">
        <v>181</v>
      </c>
    </row>
    <row r="37" customFormat="false" ht="15" hidden="false" customHeight="false" outlineLevel="0" collapsed="false">
      <c r="A37" s="55" t="s">
        <v>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3" min="2" style="0" width="44"/>
  </cols>
  <sheetData>
    <row r="1" customFormat="false" ht="24" hidden="false" customHeight="true" outlineLevel="0" collapsed="false">
      <c r="A1" s="1" t="s">
        <v>183</v>
      </c>
    </row>
    <row r="3" customFormat="false" ht="15" hidden="false" customHeight="false" outlineLevel="0" collapsed="false">
      <c r="A3" s="58" t="s">
        <v>184</v>
      </c>
      <c r="B3" s="58"/>
      <c r="C3" s="58"/>
    </row>
    <row r="5" customFormat="false" ht="21.75" hidden="false" customHeight="true" outlineLevel="0" collapsed="false">
      <c r="A5" s="3"/>
      <c r="B5" s="3" t="s">
        <v>185</v>
      </c>
      <c r="C5" s="3" t="s">
        <v>186</v>
      </c>
    </row>
    <row r="6" customFormat="false" ht="43.5" hidden="false" customHeight="true" outlineLevel="0" collapsed="false">
      <c r="A6" s="41" t="s">
        <v>187</v>
      </c>
      <c r="B6" s="44" t="s">
        <v>188</v>
      </c>
      <c r="C6" s="47" t="s">
        <v>189</v>
      </c>
    </row>
    <row r="7" customFormat="false" ht="43.5" hidden="false" customHeight="true" outlineLevel="0" collapsed="false">
      <c r="A7" s="41" t="s">
        <v>190</v>
      </c>
      <c r="B7" s="44" t="s">
        <v>191</v>
      </c>
      <c r="C7" s="47" t="s">
        <v>192</v>
      </c>
    </row>
    <row r="8" customFormat="false" ht="43.5" hidden="false" customHeight="true" outlineLevel="0" collapsed="false">
      <c r="A8" s="41" t="s">
        <v>193</v>
      </c>
      <c r="B8" s="44" t="s">
        <v>194</v>
      </c>
      <c r="C8" s="47" t="s">
        <v>195</v>
      </c>
    </row>
    <row r="9" customFormat="false" ht="43.5" hidden="false" customHeight="true" outlineLevel="0" collapsed="false">
      <c r="A9" s="41" t="s">
        <v>196</v>
      </c>
      <c r="B9" s="44" t="s">
        <v>197</v>
      </c>
      <c r="C9" s="47" t="s">
        <v>198</v>
      </c>
    </row>
    <row r="10" customFormat="false" ht="43.5" hidden="false" customHeight="true" outlineLevel="0" collapsed="false">
      <c r="A10" s="41" t="s">
        <v>199</v>
      </c>
      <c r="B10" s="44" t="s">
        <v>200</v>
      </c>
      <c r="C10" s="47" t="s">
        <v>201</v>
      </c>
    </row>
    <row r="12" customFormat="false" ht="15" hidden="false" customHeight="false" outlineLevel="0" collapsed="false">
      <c r="A12" s="53" t="s">
        <v>202</v>
      </c>
    </row>
    <row r="13" customFormat="false" ht="15" hidden="false" customHeight="false" outlineLevel="0" collapsed="false">
      <c r="A13" s="55"/>
    </row>
    <row r="14" customFormat="false" ht="15" hidden="false" customHeight="false" outlineLevel="0" collapsed="false">
      <c r="A14" s="59" t="s">
        <v>203</v>
      </c>
    </row>
    <row r="15" customFormat="false" ht="15" hidden="false" customHeight="false" outlineLevel="0" collapsed="false">
      <c r="A15" s="55" t="s">
        <v>204</v>
      </c>
    </row>
    <row r="16" customFormat="false" ht="15" hidden="false" customHeight="false" outlineLevel="0" collapsed="false">
      <c r="A16" s="55" t="s">
        <v>205</v>
      </c>
    </row>
    <row r="17" customFormat="false" ht="15" hidden="false" customHeight="false" outlineLevel="0" collapsed="false">
      <c r="A17" s="55"/>
    </row>
    <row r="18" customFormat="false" ht="15" hidden="false" customHeight="false" outlineLevel="0" collapsed="false">
      <c r="A18" s="59" t="s">
        <v>206</v>
      </c>
    </row>
    <row r="19" customFormat="false" ht="15" hidden="false" customHeight="false" outlineLevel="0" collapsed="false">
      <c r="A19" s="55" t="s">
        <v>207</v>
      </c>
    </row>
    <row r="20" customFormat="false" ht="15" hidden="false" customHeight="false" outlineLevel="0" collapsed="false">
      <c r="A20" s="55" t="s">
        <v>208</v>
      </c>
    </row>
    <row r="21" customFormat="false" ht="15" hidden="false" customHeight="false" outlineLevel="0" collapsed="false">
      <c r="A21" s="55" t="s">
        <v>209</v>
      </c>
    </row>
    <row r="22" customFormat="false" ht="15" hidden="false" customHeight="false" outlineLevel="0" collapsed="false">
      <c r="A22" s="55"/>
    </row>
    <row r="23" customFormat="false" ht="15" hidden="false" customHeight="false" outlineLevel="0" collapsed="false">
      <c r="A23" s="59" t="s">
        <v>210</v>
      </c>
    </row>
    <row r="24" customFormat="false" ht="15" hidden="false" customHeight="false" outlineLevel="0" collapsed="false">
      <c r="A24" s="55" t="s">
        <v>211</v>
      </c>
    </row>
    <row r="25" customFormat="false" ht="15" hidden="false" customHeight="false" outlineLevel="0" collapsed="false">
      <c r="A25" s="55"/>
    </row>
    <row r="26" customFormat="false" ht="15" hidden="false" customHeight="false" outlineLevel="0" collapsed="false">
      <c r="A26" s="53" t="s">
        <v>212</v>
      </c>
    </row>
    <row r="27" customFormat="false" ht="15" hidden="false" customHeight="false" outlineLevel="0" collapsed="false">
      <c r="A27" s="59" t="s">
        <v>213</v>
      </c>
    </row>
    <row r="28" customFormat="false" ht="15" hidden="false" customHeight="false" outlineLevel="0" collapsed="false">
      <c r="A28" s="59" t="s">
        <v>214</v>
      </c>
    </row>
    <row r="29" customFormat="false" ht="15" hidden="false" customHeight="false" outlineLevel="0" collapsed="false">
      <c r="A29" s="59" t="s">
        <v>215</v>
      </c>
    </row>
    <row r="30" customFormat="false" ht="15" hidden="false" customHeight="false" outlineLevel="0" collapsed="false">
      <c r="A30" s="59" t="s">
        <v>216</v>
      </c>
    </row>
    <row r="31" customFormat="false" ht="15" hidden="false" customHeight="false" outlineLevel="0" collapsed="false">
      <c r="A31" s="55"/>
    </row>
    <row r="32" customFormat="false" ht="15" hidden="false" customHeight="false" outlineLevel="0" collapsed="false">
      <c r="A32" s="60" t="s">
        <v>217</v>
      </c>
    </row>
  </sheetData>
  <mergeCells count="1">
    <mergeCell ref="A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2026-09-08T14:57:23Z</dcterms:created>
  <dc:creator>openpyxl</dc:creator>
  <dc:description/>
  <dc:language>en-US</dc:language>
  <cp:lastModifiedBy/>
  <dcterms:modified xsi:type="dcterms:W3CDTF">2026-09-08T14:57:23Z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