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6"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'02_増減内訳'!$A$1:$E$55</definedName>
    <definedName name="_xlnm.Print_Area" localSheetId="2">'03_見積明細'!$A$1:$F$46</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'07_前提条件'!$A$1:$C$28</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0" fontId="32" fillId="0" borderId="0" applyAlignment="1" pivotButton="0" quotePrefix="0" xfId="0">
      <alignment horizontal="left" vertical="center"/>
    </xf>
    <xf numFmtId="0" fontId="0" fillId="0" borderId="0" pivotButton="0" quotePrefix="0" xfId="0"/>
    <xf numFmtId="168" fontId="33" fillId="0" borderId="1" applyAlignment="1" pivotButton="0" quotePrefix="0" xfId="0">
      <alignment horizontal="left" vertical="center"/>
    </xf>
    <xf numFmtId="0" fontId="0" fillId="0" borderId="3" pivotButton="0" quotePrefix="0" xfId="0"/>
    <xf numFmtId="0" fontId="0" fillId="0" borderId="2" pivotButton="0" quotePrefix="0" xfId="0"/>
    <xf numFmtId="0" fontId="18" fillId="0" borderId="1" applyAlignment="1" pivotButton="0" quotePrefix="0" xfId="0">
      <alignment horizontal="left" vertical="center" wrapText="1"/>
    </xf>
    <xf numFmtId="0" fontId="30" fillId="0" borderId="0"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28" fillId="0" borderId="0" applyAlignment="1" pivotButton="0" quotePrefix="0" xfId="0">
      <alignment horizontal="center"/>
    </xf>
    <xf numFmtId="0" fontId="3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0" fontId="18" fillId="0" borderId="0" applyAlignment="1" pivotButton="0" quotePrefix="0" xfId="0">
      <alignment horizontal="left" vertical="center"/>
    </xf>
    <xf numFmtId="0" fontId="18" fillId="0" borderId="1" applyAlignment="1" pivotButton="0" quotePrefix="0" xfId="0">
      <alignment horizontal="left" vertical="center"/>
    </xf>
    <xf numFmtId="0" fontId="3" fillId="0" borderId="1" applyAlignment="1" pivotButton="0" quotePrefix="0" xfId="0">
      <alignment horizontal="left" vertical="center" wrapText="1"/>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36" fillId="0" borderId="0" applyAlignment="1" pivotButton="0" quotePrefix="0" xfId="0">
      <alignment horizontal="left" vertical="center"/>
    </xf>
    <xf numFmtId="0" fontId="35" fillId="0" borderId="0" applyAlignment="1" pivotButton="0" quotePrefix="0" xfId="0">
      <alignment horizontal="left" vertical="center"/>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6549120" y="1464479"/>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zoomScale="119" zoomScaleNormal="119" workbookViewId="0">
      <selection activeCell="J14" sqref="J14"/>
    </sheetView>
  </sheetViews>
  <sheetFormatPr baseColWidth="10" defaultColWidth="8.83203125" defaultRowHeight="14"/>
  <cols>
    <col width="3" customWidth="1" style="91" min="1" max="1"/>
    <col width="20" customWidth="1" style="91" min="2" max="3"/>
    <col width="16" customWidth="1" style="91" min="4" max="5"/>
    <col width="18" customWidth="1" style="91" min="6" max="6"/>
    <col width="3" customWidth="1" style="91" min="7" max="7"/>
  </cols>
  <sheetData>
    <row r="2" ht="34" customHeight="1" s="91">
      <c r="B2" s="100" t="inlineStr">
        <is>
          <t>御　見　積　書</t>
        </is>
      </c>
    </row>
    <row r="4" ht="16" customHeight="1" s="91">
      <c r="B4" s="102" t="inlineStr">
        <is>
          <t>見積番号</t>
        </is>
      </c>
      <c r="C4" s="2" t="inlineStr">
        <is>
          <t>SP-2026-0004</t>
        </is>
      </c>
    </row>
    <row r="5" ht="16" customHeight="1" s="91">
      <c r="B5" s="102" t="inlineStr">
        <is>
          <t>発行日</t>
        </is>
      </c>
      <c r="C5" s="2" t="inlineStr">
        <is>
          <t>2026年9月14日</t>
        </is>
      </c>
    </row>
    <row r="6" ht="16" customHeight="1" s="91">
      <c r="B6" s="102" t="inlineStr">
        <is>
          <t>有効期限</t>
        </is>
      </c>
      <c r="C6" s="2" t="inlineStr">
        <is>
          <t>発行日より30日間</t>
        </is>
      </c>
    </row>
    <row r="8" ht="25" customHeight="1" s="91">
      <c r="B8" s="96" t="inlineStr">
        <is>
          <t>株式会社聖建　御中</t>
        </is>
      </c>
      <c r="E8" s="98" t="inlineStr">
        <is>
          <t>株式会社スペリオル</t>
        </is>
      </c>
    </row>
    <row r="9" ht="16" customHeight="1" s="91">
      <c r="B9" s="102" t="inlineStr">
        <is>
          <t>〒475-0805　愛知県半田市浜田町1丁目7番地</t>
        </is>
      </c>
      <c r="E9" s="101" t="inlineStr">
        <is>
          <t>〒464-0075　名古屋市千種区内山3-18-10</t>
        </is>
      </c>
    </row>
    <row r="10" ht="16" customHeight="1" s="91">
      <c r="E10" s="101" t="inlineStr">
        <is>
          <t>TEL 052-745-6607</t>
        </is>
      </c>
    </row>
    <row r="11" ht="16" customHeight="1" s="91">
      <c r="E11" s="101" t="inlineStr">
        <is>
          <t>登録番号 T9180001048541</t>
        </is>
      </c>
    </row>
    <row r="12" ht="16" customHeight="1" s="91">
      <c r="E12" s="90" t="inlineStr">
        <is>
          <t>担当　藤原</t>
        </is>
      </c>
    </row>
    <row r="14" ht="17" customHeight="1" s="91">
      <c r="B14" s="103" t="inlineStr">
        <is>
          <t>下記のとおりお見積り申し上げます。</t>
        </is>
      </c>
    </row>
    <row r="16" ht="32" customHeight="1" s="91">
      <c r="B16" s="4" t="inlineStr">
        <is>
          <t>件名</t>
        </is>
      </c>
      <c r="C16" s="106" t="inlineStr">
        <is>
          <t>建設業 特別教育 eラーニング配信システム 構築 および 教材制作（6科目）一式</t>
        </is>
      </c>
      <c r="D16" s="93" t="n"/>
      <c r="E16" s="93" t="n"/>
      <c r="F16" s="94" t="n"/>
    </row>
    <row r="17" ht="36" customHeight="1" s="91">
      <c r="B17" s="4" t="inlineStr">
        <is>
          <t>御見積金額</t>
        </is>
      </c>
      <c r="C17" s="111">
        <f>'03_見積明細'!F29</f>
        <v/>
      </c>
      <c r="D17" s="93" t="n"/>
      <c r="E17" s="93" t="n"/>
      <c r="F17" s="94" t="n"/>
    </row>
    <row r="18" ht="20" customHeight="1" s="91">
      <c r="B18" s="5" t="n"/>
      <c r="C18" s="99">
        <f>"消費税 ¥"&amp;TEXT('03_見積明細'!F30,"#,##0")&amp;"　／　税込 ¥"&amp;TEXT('03_見積明細'!F31,"#,##0")</f>
        <v/>
      </c>
      <c r="D18" s="93" t="n"/>
      <c r="E18" s="93" t="n"/>
      <c r="F18" s="94" t="n"/>
    </row>
    <row r="20" ht="42" customHeight="1" s="91">
      <c r="B20" s="4" t="inlineStr">
        <is>
          <t>納期</t>
        </is>
      </c>
      <c r="C20" s="95" t="inlineStr">
        <is>
          <t>システム：ご発注後 約4か月　／　教材：第1次3科目 約4か月、第2次3科目 約7か月</t>
        </is>
      </c>
      <c r="D20" s="93" t="n"/>
      <c r="E20" s="93" t="n"/>
      <c r="F20" s="94" t="n"/>
    </row>
    <row r="21" ht="28" customHeight="1" s="91">
      <c r="B21" s="4" t="inlineStr">
        <is>
          <t>納入場所</t>
        </is>
      </c>
      <c r="C21" s="95" t="inlineStr">
        <is>
          <t>貴社ご指定のサーバー環境</t>
        </is>
      </c>
      <c r="D21" s="93" t="n"/>
      <c r="E21" s="93" t="n"/>
      <c r="F21" s="94" t="n"/>
    </row>
    <row r="22" ht="28" customHeight="1" s="91">
      <c r="B22" s="4" t="inlineStr">
        <is>
          <t>検収条件</t>
        </is>
      </c>
      <c r="C22" s="95" t="inlineStr">
        <is>
          <t>納品後14日以内に貴社にて検収。期間内にご連絡なき場合は検収完了とみなします。</t>
        </is>
      </c>
      <c r="D22" s="93" t="n"/>
      <c r="E22" s="93" t="n"/>
      <c r="F22" s="94" t="n"/>
    </row>
    <row r="23" ht="28" customHeight="1" s="91">
      <c r="B23" s="4" t="inlineStr">
        <is>
          <t>支払条件</t>
        </is>
      </c>
      <c r="C23" s="95" t="inlineStr">
        <is>
          <t>2026年9月29日までに全額を一括でお支払いください。</t>
        </is>
      </c>
      <c r="D23" s="93" t="n"/>
      <c r="E23" s="93" t="n"/>
      <c r="F23" s="94" t="n"/>
    </row>
    <row r="25" ht="19" customHeight="1" s="91">
      <c r="B25" s="7" t="inlineStr">
        <is>
          <t>内訳</t>
        </is>
      </c>
    </row>
    <row r="26" ht="20" customHeight="1" s="91">
      <c r="B26" s="97" t="inlineStr">
        <is>
          <t>区分</t>
        </is>
      </c>
      <c r="C26" s="97" t="inlineStr">
        <is>
          <t>内容</t>
        </is>
      </c>
      <c r="D26" s="94" t="n"/>
      <c r="E26" s="97" t="inlineStr">
        <is>
          <t>数量</t>
        </is>
      </c>
      <c r="F26" s="97" t="inlineStr">
        <is>
          <t>金額（税抜）</t>
        </is>
      </c>
    </row>
    <row r="27" ht="17" customHeight="1" s="91">
      <c r="B27" s="9" t="inlineStr">
        <is>
          <t>システム開発</t>
        </is>
      </c>
      <c r="C27" s="105" t="inlineStr">
        <is>
          <t>配信基盤・視聴整合性・本人確認・在席確認・修了証発行</t>
        </is>
      </c>
      <c r="D27" s="94" t="n"/>
      <c r="E27" s="11" t="inlineStr">
        <is>
          <t>一式</t>
        </is>
      </c>
      <c r="F27" s="112">
        <f>'03_見積明細'!F22</f>
        <v/>
      </c>
    </row>
    <row r="28" ht="17" customHeight="1" s="91">
      <c r="B28" s="9" t="inlineStr">
        <is>
          <t>教材制作</t>
        </is>
      </c>
      <c r="C28" s="105" t="inlineStr">
        <is>
          <t>特別教育 学科教材 6科目</t>
        </is>
      </c>
      <c r="D28" s="94" t="n"/>
      <c r="E28" s="113">
        <f>'04_教材科目'!$A$17</f>
        <v/>
      </c>
      <c r="F28" s="112">
        <f>'04_教材科目'!$F$17</f>
        <v/>
      </c>
    </row>
    <row r="29" ht="17" customHeight="1" s="91">
      <c r="B29" s="14" t="inlineStr">
        <is>
          <t>小計</t>
        </is>
      </c>
      <c r="C29" s="15" t="inlineStr">
        <is>
          <t>（税抜）</t>
        </is>
      </c>
      <c r="D29" s="16" t="n"/>
      <c r="E29" s="16" t="n"/>
      <c r="F29" s="114">
        <f>'03_見積明細'!F27</f>
        <v/>
      </c>
    </row>
    <row r="30" ht="17" customHeight="1" s="91">
      <c r="B30" s="9" t="inlineStr">
        <is>
          <t>値引</t>
        </is>
      </c>
      <c r="C30" s="18" t="inlineStr">
        <is>
          <t>貴社特別値引き</t>
        </is>
      </c>
      <c r="D30" s="19" t="n"/>
      <c r="E30" s="19" t="n"/>
      <c r="F30" s="115">
        <f>'03_見積明細'!F28</f>
        <v/>
      </c>
    </row>
    <row r="31" ht="17" customHeight="1" s="91">
      <c r="B31" s="9" t="inlineStr">
        <is>
          <t>差引小計</t>
        </is>
      </c>
      <c r="C31" s="21" t="inlineStr">
        <is>
          <t>（税抜）</t>
        </is>
      </c>
      <c r="D31" s="19" t="n"/>
      <c r="E31" s="19" t="n"/>
      <c r="F31" s="116">
        <f>'03_見積明細'!F29</f>
        <v/>
      </c>
    </row>
    <row r="32" ht="17" customHeight="1" s="91">
      <c r="B32" s="9" t="inlineStr">
        <is>
          <t>消費税</t>
        </is>
      </c>
      <c r="C32" s="19" t="n"/>
      <c r="D32" s="19" t="n"/>
      <c r="E32" s="19" t="n"/>
      <c r="F32" s="116">
        <f>'03_見積明細'!F30</f>
        <v/>
      </c>
    </row>
    <row r="33" ht="22" customHeight="1" s="91">
      <c r="B33" s="23" t="inlineStr">
        <is>
          <t>合計</t>
        </is>
      </c>
      <c r="C33" s="24" t="inlineStr">
        <is>
          <t>（税込）</t>
        </is>
      </c>
      <c r="D33" s="5" t="n"/>
      <c r="E33" s="5" t="n"/>
      <c r="F33" s="117">
        <f>'03_見積明細'!F31</f>
        <v/>
      </c>
    </row>
    <row r="35" ht="17" customHeight="1" s="91">
      <c r="B35" s="26" t="inlineStr">
        <is>
          <t>■ 別途ご負担いただく費用（いずれも税抜）</t>
        </is>
      </c>
    </row>
    <row r="36" ht="17" customHeight="1" s="91">
      <c r="B36" s="104" t="inlineStr">
        <is>
          <t>・月額 保守・運用サービス 65,000円 ＋ 法令改正監視・通知サービス 20,000円　合計 85,000円／月</t>
        </is>
      </c>
    </row>
    <row r="37" ht="17" customHeight="1" s="91">
      <c r="B37" s="104" t="inlineStr">
        <is>
          <t>・サーバー利用料　月額 20,000円程度（受講者数により変動）。貴社名義でのご契約を推奨します</t>
        </is>
      </c>
    </row>
    <row r="38" ht="17" customHeight="1" s="91">
      <c r="B38" s="104"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54"/>
  <sheetViews>
    <sheetView workbookViewId="0">
      <selection activeCell="A1" sqref="A1"/>
    </sheetView>
  </sheetViews>
  <sheetFormatPr baseColWidth="10" defaultColWidth="8.83203125" defaultRowHeight="14"/>
  <cols>
    <col width="6" customWidth="1" style="91" min="1" max="1"/>
    <col width="40" customWidth="1" style="91" min="2" max="2"/>
    <col width="16" customWidth="1" style="91" min="3" max="3"/>
    <col width="14" customWidth="1" style="91" min="4" max="4"/>
    <col width="56" customWidth="1" style="91" min="5" max="5"/>
  </cols>
  <sheetData>
    <row r="1" ht="24" customHeight="1" s="91">
      <c r="A1" s="27" t="inlineStr">
        <is>
          <t>前回お見積りからの増減内訳</t>
        </is>
      </c>
    </row>
    <row r="2" ht="17" customHeight="1" s="91">
      <c r="A2" s="28" t="inlineStr">
        <is>
          <t>2026年9月8日付 SP-2026-0001（税抜 8,000,000円）から、今回のお見積りに至るまでの内訳です。</t>
        </is>
      </c>
    </row>
    <row r="4" ht="22" customHeight="1" s="91">
      <c r="A4" s="97" t="n"/>
      <c r="B4" s="97" t="inlineStr">
        <is>
          <t>項目</t>
        </is>
      </c>
      <c r="C4" s="97" t="inlineStr">
        <is>
          <t>増減</t>
        </is>
      </c>
      <c r="D4" s="97" t="inlineStr">
        <is>
          <t>人日</t>
        </is>
      </c>
      <c r="E4" s="97" t="inlineStr">
        <is>
          <t>理由・内容</t>
        </is>
      </c>
    </row>
    <row r="5" ht="17" customHeight="1" s="91">
      <c r="A5" s="16" t="n"/>
      <c r="B5" s="29" t="inlineStr">
        <is>
          <t>前回お見積り（2026年9月8日）</t>
        </is>
      </c>
      <c r="C5" s="114" t="n">
        <v>8000000</v>
      </c>
      <c r="D5" s="118" t="n">
        <v>100</v>
      </c>
      <c r="E5" s="15" t="inlineStr">
        <is>
          <t>教材10科目＋システム100人日</t>
        </is>
      </c>
    </row>
    <row r="6" ht="34" customHeight="1" s="91">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91">
      <c r="A7" s="31" t="inlineStr">
        <is>
          <t>②</t>
        </is>
      </c>
      <c r="B7" s="32" t="inlineStr">
        <is>
          <t>受講中のランダム顔照合を除外</t>
        </is>
      </c>
      <c r="C7" s="119" t="n">
        <v>-350000</v>
      </c>
      <c r="D7" s="122" t="n">
        <v>-7</v>
      </c>
      <c r="E7" s="35" t="inlineStr">
        <is>
          <t>受講の途中で予告なく撮影する機能を今回の範囲から外します。登録時の本人確認と受講開始時の照合は維持</t>
        </is>
      </c>
    </row>
    <row r="8" ht="34" customHeight="1" s="91">
      <c r="A8" s="31" t="inlineStr">
        <is>
          <t>③</t>
        </is>
      </c>
      <c r="B8" s="32" t="inlineStr">
        <is>
          <t>全額一括前払いによる調整</t>
        </is>
      </c>
      <c r="C8" s="119" t="n">
        <v>-350000</v>
      </c>
      <c r="D8" s="120" t="n"/>
      <c r="E8" s="35" t="inlineStr">
        <is>
          <t>ご発注時に全額をお支払いいただく条件に対する調整。分割回収に比べ資金負担と与信リスクが下がるため</t>
        </is>
      </c>
    </row>
    <row r="9" ht="34" customHeight="1" s="91">
      <c r="A9" s="31" t="inlineStr">
        <is>
          <t>④</t>
        </is>
      </c>
      <c r="B9" s="32" t="inlineStr">
        <is>
          <t>在席確認（カメラ前からの離席検知）の追加</t>
        </is>
      </c>
      <c r="C9" s="119" t="n">
        <v>900000</v>
      </c>
      <c r="D9" s="122" t="n">
        <v>18</v>
      </c>
      <c r="E9" s="35" t="inlineStr">
        <is>
          <t>受講中はカメラ映像を端末内で判定し、離席したら再生を自動停止。離席時間は有効視聴時間から除外。今回の新規ご要望</t>
        </is>
      </c>
    </row>
    <row r="10" ht="34" customHeight="1" s="91">
      <c r="A10" s="31" t="inlineStr">
        <is>
          <t>⑤</t>
        </is>
      </c>
      <c r="B10" s="32" t="inlineStr">
        <is>
          <t>受講中のランダム顔照合を再度組み入れ</t>
        </is>
      </c>
      <c r="C10" s="119" t="n">
        <v>200000</v>
      </c>
      <c r="D10" s="122" t="n">
        <v>4</v>
      </c>
      <c r="E10" s="35" t="inlineStr">
        <is>
          <t>②でいったん外したが、④のカメラ基盤を共用できるため7人日→4人日で実装可能。単独実装より350,000円→200,000円と安く戻せる</t>
        </is>
      </c>
    </row>
    <row r="11" ht="34" customHeight="1" s="91">
      <c r="A11" s="31" t="inlineStr">
        <is>
          <t>⑥</t>
        </is>
      </c>
      <c r="B11" s="32" t="inlineStr">
        <is>
          <t>在席確認にともなう既存機能の改修</t>
        </is>
      </c>
      <c r="C11" s="119" t="n">
        <v>500000</v>
      </c>
      <c r="D11" s="122" t="n">
        <v>10</v>
      </c>
      <c r="E11" s="35" t="inlineStr">
        <is>
          <t>視聴整合性＋3、受講者ポータル＋2、運営管理画面＋2、結合テスト＋3。離席時間の除外処理、カメラ許可の導線、離席ログの確認画面、端末別検証の追加分</t>
        </is>
      </c>
    </row>
    <row r="12">
      <c r="A12" s="5" t="n"/>
      <c r="B12" s="39" t="inlineStr">
        <is>
          <t>今回のお見積り（税抜）</t>
        </is>
      </c>
      <c r="C12" s="123">
        <f>C5+SUM(C6:C11)</f>
        <v/>
      </c>
      <c r="D12" s="124">
        <f>'03_見積明細'!D22</f>
        <v/>
      </c>
      <c r="E12" s="24" t="inlineStr">
        <is>
          <t>教材6科目＋システム125人日</t>
        </is>
      </c>
    </row>
    <row r="13" ht="20" customHeight="1" s="91">
      <c r="B13" s="102" t="inlineStr">
        <is>
          <t>（検算）見積明細の小計＋調整額</t>
        </is>
      </c>
      <c r="C13" s="125">
        <f>'03_見積明細'!F29</f>
        <v/>
      </c>
    </row>
    <row r="14" ht="17" customHeight="1" s="91"/>
    <row r="15" ht="17" customHeight="1" s="91">
      <c r="B15" s="43" t="inlineStr">
        <is>
          <t>増減の内訳（金額の動き）</t>
        </is>
      </c>
    </row>
    <row r="16" ht="17" customHeight="1" s="91">
      <c r="B16" s="44" t="inlineStr">
        <is>
          <t>減額の要因</t>
        </is>
      </c>
      <c r="C16" s="5" t="n"/>
      <c r="D16" s="5" t="n"/>
      <c r="E16" s="5" t="n"/>
    </row>
    <row r="17" ht="17" customHeight="1" s="91">
      <c r="B17" s="105" t="inlineStr">
        <is>
          <t>教材 4科目の削減</t>
        </is>
      </c>
      <c r="C17" s="45" t="inlineStr">
        <is>
          <t>▲1,200,000</t>
        </is>
      </c>
      <c r="D17" s="19" t="n"/>
      <c r="E17" s="19" t="n"/>
    </row>
    <row r="18" ht="17" customHeight="1" s="91">
      <c r="B18" s="105" t="inlineStr">
        <is>
          <t>受講中ランダム照合の除外（②）</t>
        </is>
      </c>
      <c r="C18" s="45" t="inlineStr">
        <is>
          <t>▲350,000</t>
        </is>
      </c>
      <c r="D18" s="19" t="n"/>
      <c r="E18" s="19" t="n"/>
    </row>
    <row r="19">
      <c r="B19" s="105" t="inlineStr">
        <is>
          <t>全額一括前払いによる調整</t>
        </is>
      </c>
      <c r="C19" s="45" t="inlineStr">
        <is>
          <t>▲350,000</t>
        </is>
      </c>
      <c r="D19" s="19" t="n"/>
      <c r="E19" s="19" t="n"/>
    </row>
    <row r="20" ht="17" customHeight="1" s="91">
      <c r="B20" s="46" t="inlineStr">
        <is>
          <t>小計</t>
        </is>
      </c>
      <c r="C20" s="47" t="inlineStr">
        <is>
          <t>▲1,900,000</t>
        </is>
      </c>
      <c r="D20" s="19" t="n"/>
      <c r="E20" s="19" t="n"/>
    </row>
    <row r="21" ht="17" customHeight="1" s="91">
      <c r="B21" s="44" t="inlineStr">
        <is>
          <t>増額の要因</t>
        </is>
      </c>
      <c r="C21" s="5" t="n"/>
      <c r="D21" s="5" t="n"/>
      <c r="E21" s="5" t="n"/>
    </row>
    <row r="22" ht="17" customHeight="1" s="91">
      <c r="B22" s="105" t="inlineStr">
        <is>
          <t>在席確認の追加</t>
        </is>
      </c>
      <c r="C22" s="45" t="inlineStr">
        <is>
          <t>＋900,000</t>
        </is>
      </c>
      <c r="D22" s="19" t="n"/>
      <c r="E22" s="19" t="n"/>
    </row>
    <row r="23">
      <c r="B23" s="105" t="inlineStr">
        <is>
          <t>受講中ランダム照合の再組入れ（⑤）</t>
        </is>
      </c>
      <c r="C23" s="45" t="inlineStr">
        <is>
          <t>＋200,000</t>
        </is>
      </c>
      <c r="D23" s="19" t="n"/>
      <c r="E23" s="19" t="n"/>
    </row>
    <row r="24" ht="19" customHeight="1" s="91">
      <c r="B24" s="105" t="inlineStr">
        <is>
          <t>在席確認にともなう既存機能の改修（⑥）</t>
        </is>
      </c>
      <c r="C24" s="45" t="inlineStr">
        <is>
          <t>＋500,000</t>
        </is>
      </c>
      <c r="D24" s="19" t="n"/>
      <c r="E24" s="19" t="n"/>
    </row>
    <row r="25">
      <c r="B25" s="105" t="inlineStr">
        <is>
          <t>小計</t>
        </is>
      </c>
      <c r="C25" s="45" t="inlineStr">
        <is>
          <t>＋1,600,000</t>
        </is>
      </c>
      <c r="D25" s="19" t="n"/>
      <c r="E25" s="19" t="n"/>
    </row>
    <row r="26" ht="17" customHeight="1" s="91"/>
    <row r="27" ht="17" customHeight="1" s="91">
      <c r="B27" t="inlineStr">
        <is>
          <t>差引</t>
        </is>
      </c>
      <c r="C27" t="inlineStr">
        <is>
          <t>▲300,000</t>
        </is>
      </c>
      <c r="E27" t="inlineStr">
        <is>
          <t>8,000,000 − 300,000 ＝ 7,700,000</t>
        </is>
      </c>
    </row>
    <row r="28" ht="17" customHeight="1" s="91">
      <c r="B28" s="53" t="n"/>
    </row>
    <row r="29" ht="17" customHeight="1" s="91">
      <c r="B29" s="54" t="inlineStr">
        <is>
          <t>■ このシートは社内資料です（先方には提出しません）</t>
        </is>
      </c>
    </row>
    <row r="30" ht="17" customHeight="1" s="91">
      <c r="B30" s="54" t="inlineStr">
        <is>
          <t>提出するのは 01_見積書 ／ 06_注文書 ／ 07_前提条件 の3点のみです。</t>
        </is>
      </c>
    </row>
    <row r="31" ht="17" customHeight="1" s="91">
      <c r="B31" s="54" t="inlineStr">
        <is>
          <t>②で外したランダム顔照合が⑤で戻っています。単純な出し戻しに見せないため、</t>
        </is>
      </c>
    </row>
    <row r="32" ht="17" customHeight="1" s="91">
      <c r="B32" s="54" t="inlineStr">
        <is>
          <t>「在席確認を入れるので、そのカメラを使ってランダム照合も安く足せる」という順序で説明してください。</t>
        </is>
      </c>
    </row>
    <row r="33" ht="17" customHeight="1" s="91">
      <c r="B33" s="54" t="n"/>
    </row>
    <row r="34" ht="17" customHeight="1" s="91">
      <c r="B34" s="54" t="inlineStr">
        <is>
          <t>■ 決済機能について</t>
        </is>
      </c>
    </row>
    <row r="35" ht="17" customHeight="1" s="91">
      <c r="B35" s="54" t="inlineStr">
        <is>
          <t>決済は今回の範囲から外しました（将来的にご導入予定）。前回計上していた10人日・500,000円を落としています。</t>
        </is>
      </c>
    </row>
    <row r="36" ht="17" customHeight="1" s="91">
      <c r="B36" s="54" t="inlineStr">
        <is>
          <t>導入時は決済代行会社との接続方式が決まってからの見積となります。目安は10人日・500,000円です。</t>
        </is>
      </c>
    </row>
    <row r="37" ht="17" customHeight="1" s="91">
      <c r="B37" s="54" t="n"/>
    </row>
    <row r="38" ht="17" customHeight="1" s="91">
      <c r="B38" s="54" t="inlineStr">
        <is>
          <t>■ 総額7,700,000円を維持している理由（⑥）</t>
        </is>
      </c>
    </row>
    <row r="39" ht="17" customHeight="1" s="91">
      <c r="B39" s="54" t="inlineStr">
        <is>
          <t>決済を外した500,000円は、在席確認が既存機能へ波及する分（10人日）に振り替えています。</t>
        </is>
      </c>
    </row>
    <row r="40" ht="17" customHeight="1" s="91">
      <c r="B40" s="54" t="inlineStr">
        <is>
          <t xml:space="preserve">　視聴整合性 15→18人日　… 離席していた時間を有効視聴時間から除外する処理</t>
        </is>
      </c>
    </row>
    <row r="41" ht="17" customHeight="1" s="91">
      <c r="B41" s="54" t="inlineStr">
        <is>
          <t xml:space="preserve">　受講者ポータル 9→11人日　… カメラ許可の取得導線と、離席中の画面表示</t>
        </is>
      </c>
    </row>
    <row r="42" ht="17" customHeight="1" s="91">
      <c r="B42" s="54" t="inlineStr">
        <is>
          <t xml:space="preserve">　運営管理画面 4→6人日　… 離席ログと顔照合結果の確認画面</t>
        </is>
      </c>
    </row>
    <row r="43" ht="17" customHeight="1" s="91">
      <c r="B43" s="54" t="inlineStr">
        <is>
          <t xml:space="preserve">　結合テスト 9人日（＋3）　… カメラを使う工程の端末別・ブラウザ別検証</t>
        </is>
      </c>
    </row>
    <row r="44" ht="17" customHeight="1" s="91">
      <c r="B44" s="54" t="n"/>
    </row>
    <row r="45" ht="17" customHeight="1" s="91">
      <c r="B45" s="54" t="inlineStr">
        <is>
          <t>当初18人日で見ていた在席確認は、この機能単体の工数です。実際にはカメラを常時動かすことで</t>
        </is>
      </c>
    </row>
    <row r="46">
      <c r="B46" s="54" t="inlineStr">
        <is>
          <t>上の4項目に手が入ります。項目を増やさず既存項目の人日を上げているのはこのためです。</t>
        </is>
      </c>
    </row>
    <row r="47">
      <c r="B47" s="54" t="inlineStr">
        <is>
          <t>先方から内訳を求められた場合も、この4項目の増加として説明できます。</t>
        </is>
      </c>
    </row>
    <row r="48">
      <c r="B48" s="54" t="n"/>
    </row>
    <row r="49">
      <c r="B49" s="54" t="inlineStr">
        <is>
          <t>■ 月額費用の変更</t>
        </is>
      </c>
    </row>
    <row r="50">
      <c r="B50" s="54" t="inlineStr">
        <is>
          <t>保守・運用サービス　60,000円 → 65,000円（＋5,000円）</t>
        </is>
      </c>
    </row>
    <row r="51">
      <c r="B51" s="54" t="inlineStr">
        <is>
          <t xml:space="preserve">　在席確認の離席ログ確認と、カメラが認識しない等の問い合わせ対応が増えるためです。</t>
        </is>
      </c>
    </row>
    <row r="52">
      <c r="B52" s="54" t="inlineStr">
        <is>
          <t xml:space="preserve">　ランダム照合の目視確認は在席確認の画面で一括して行えるため、＋20,000円ではなく＋5,000円で収まります。</t>
        </is>
      </c>
    </row>
    <row r="53">
      <c r="B53" s="54" t="inlineStr">
        <is>
          <t>法令改正監視・通知サービス　20,000円（変更なし）</t>
        </is>
      </c>
    </row>
    <row r="54">
      <c r="B54" s="54" t="inlineStr">
        <is>
          <t xml:space="preserve">　　　　　　　　　　　　　　合計 85,000円／月（サーバー費を除く・税抜）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5"/>
  <sheetViews>
    <sheetView workbookViewId="0">
      <pane ySplit="6" topLeftCell="A7" activePane="bottomLeft" state="frozen"/>
      <selection pane="bottomLeft" activeCell="A1" sqref="A1"/>
    </sheetView>
  </sheetViews>
  <sheetFormatPr baseColWidth="10" defaultColWidth="8.83203125" defaultRowHeight="14"/>
  <cols>
    <col width="12" customWidth="1" style="91" min="1" max="1"/>
    <col width="28" customWidth="1" style="91" min="2" max="2"/>
    <col width="54" customWidth="1" style="91" min="3" max="3"/>
    <col width="9" customWidth="1" style="91" min="4" max="4"/>
    <col width="12" customWidth="1" style="91" min="5" max="5"/>
    <col width="14" customWidth="1" style="91" min="6" max="6"/>
  </cols>
  <sheetData>
    <row r="1" ht="24" customHeight="1" s="91">
      <c r="A1" s="27" t="inlineStr">
        <is>
          <t>見積明細</t>
        </is>
      </c>
    </row>
    <row r="2" ht="17" customHeight="1" s="91">
      <c r="A2" s="28" t="inlineStr">
        <is>
          <t>黄色のセルが編集箇所です。人日単価と各項目の人日を変えると、見積書・増減内訳・注文書まで自動で再計算されます。</t>
        </is>
      </c>
    </row>
    <row r="4" ht="17" customHeight="1" s="91">
      <c r="A4" s="107" t="inlineStr">
        <is>
          <t>人日単価</t>
        </is>
      </c>
      <c r="B4" s="94" t="n"/>
      <c r="C4" s="126" t="n">
        <v>50000</v>
      </c>
      <c r="D4" s="21" t="inlineStr">
        <is>
          <t>円／人日</t>
        </is>
      </c>
    </row>
    <row r="6" ht="22" customHeight="1" s="91">
      <c r="A6" s="97" t="inlineStr">
        <is>
          <t>区分</t>
        </is>
      </c>
      <c r="B6" s="97" t="inlineStr">
        <is>
          <t>項目</t>
        </is>
      </c>
      <c r="C6" s="97" t="inlineStr">
        <is>
          <t>内容</t>
        </is>
      </c>
      <c r="D6" s="97" t="inlineStr">
        <is>
          <t>数量</t>
        </is>
      </c>
      <c r="E6" s="97" t="inlineStr">
        <is>
          <t>単価</t>
        </is>
      </c>
      <c r="F6" s="97" t="inlineStr">
        <is>
          <t>金額</t>
        </is>
      </c>
    </row>
    <row r="7" ht="17" customHeight="1" s="91">
      <c r="A7" s="108" t="inlineStr">
        <is>
          <t>1. システム開発</t>
        </is>
      </c>
      <c r="B7" s="93" t="n"/>
      <c r="C7" s="93" t="n"/>
      <c r="D7" s="93" t="n"/>
      <c r="E7" s="93" t="n"/>
      <c r="F7" s="94" t="n"/>
    </row>
    <row r="8" ht="30" customHeight="1" s="91">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91">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91">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91">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heartbeatの受信と検証、未視聴位置へのシーク制限、倍速検知、可視状態の判定、サーバー側での検証済み秒数の集計、異常検知。離席していた時間の除外処理を含む</t>
        </is>
      </c>
      <c r="D11" s="127" t="n">
        <v>18</v>
      </c>
      <c r="E11" s="112">
        <f>$C$4</f>
        <v/>
      </c>
      <c r="F11" s="112">
        <f>D11*E11</f>
        <v/>
      </c>
    </row>
    <row r="12" ht="30" customHeight="1" s="91">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91">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91">
      <c r="A14" s="59" t="inlineStr">
        <is>
          <t>システム</t>
        </is>
      </c>
      <c r="B14" s="32" t="inlineStr">
        <is>
          <t>顔照合（受講開始時のみ）</t>
        </is>
      </c>
      <c r="C14" s="35" t="inlineStr">
        <is>
          <t>各章の再生開始時に1:1照合を実施。受講中の照合は在席確認およびランダム顔照合で行います</t>
        </is>
      </c>
      <c r="D14" s="127" t="n">
        <v>4</v>
      </c>
      <c r="E14" s="112">
        <f>$C$4</f>
        <v/>
      </c>
      <c r="F14" s="112">
        <f>D14*E14</f>
        <v/>
      </c>
    </row>
    <row r="15" ht="30" customHeight="1" s="91">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91">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91">
      <c r="A17" s="59" t="inlineStr">
        <is>
          <t>システム</t>
        </is>
      </c>
      <c r="B17" s="32" t="inlineStr">
        <is>
          <t>受講者ポータル</t>
        </is>
      </c>
      <c r="C17" s="35" t="inlineStr">
        <is>
          <t>申込、マイページ、受講画面、進捗表示、スマートフォン対応。カメラ許可の取得導線と離席時の画面表示を含む</t>
        </is>
      </c>
      <c r="D17" s="127" t="n">
        <v>11</v>
      </c>
      <c r="E17" s="112">
        <f>$C$4</f>
        <v/>
      </c>
      <c r="F17" s="112">
        <f>D17*E17</f>
        <v/>
      </c>
    </row>
    <row r="18" ht="30" customHeight="1" s="91">
      <c r="A18" s="59" t="inlineStr">
        <is>
          <t>システム</t>
        </is>
      </c>
      <c r="B18" s="32" t="inlineStr">
        <is>
          <t>運営管理画面（基本機能）</t>
        </is>
      </c>
      <c r="C18" s="35" t="inlineStr">
        <is>
          <t>本人確認の承認キュー、受講状況の一覧、受講ログの照会、修了証の発行管理、離席ログと顔照合結果の確認</t>
        </is>
      </c>
      <c r="D18" s="127" t="n">
        <v>6</v>
      </c>
      <c r="E18" s="112">
        <f>$C$4</f>
        <v/>
      </c>
      <c r="F18" s="112">
        <f>D18*E18</f>
        <v/>
      </c>
    </row>
    <row r="19" ht="30" customHeight="1" s="91">
      <c r="A19" s="59" t="inlineStr">
        <is>
          <t>システム</t>
        </is>
      </c>
      <c r="B19" s="32" t="inlineStr">
        <is>
          <t>結合テスト・E2E・受入支援</t>
        </is>
      </c>
      <c r="C19" s="35" t="inlineStr">
        <is>
          <t>必須E2Eシナリオの実施、受入条件の確認、リリース判定資料の作成。カメラを使う工程の端末別検証を含む</t>
        </is>
      </c>
      <c r="D19" s="127" t="n">
        <v>9</v>
      </c>
      <c r="E19" s="112">
        <f>$C$4</f>
        <v/>
      </c>
      <c r="F19" s="112">
        <f>D19*E19</f>
        <v/>
      </c>
    </row>
    <row r="20" ht="30" customHeight="1" s="91">
      <c r="A20" s="59" t="inlineStr">
        <is>
          <t>システム</t>
        </is>
      </c>
      <c r="B20" s="32" t="inlineStr">
        <is>
          <t>在席確認（カメラ前からの離席検知）</t>
        </is>
      </c>
      <c r="C20" s="35" t="inlineStr">
        <is>
          <t>受講中はカメラ映像を端末内で判定し、受講者が画面前から離れたら再生を自動停止。離席の開始と終了を記録し、有効視聴時間から除外。画像はサーバーへ送信しません</t>
        </is>
      </c>
      <c r="D20" s="127" t="n">
        <v>18</v>
      </c>
      <c r="E20" s="112">
        <f>$C$4</f>
        <v/>
      </c>
      <c r="F20" s="112">
        <f>D20*E20</f>
        <v/>
      </c>
    </row>
    <row r="21" ht="30" customHeight="1" s="91">
      <c r="A21" s="59" t="inlineStr">
        <is>
          <t>システム</t>
        </is>
      </c>
      <c r="B21" s="32" t="inlineStr">
        <is>
          <t>受講中のランダム顔照合</t>
        </is>
      </c>
      <c r="C21" s="35" t="inlineStr">
        <is>
          <t>受講中に予告なく静止画を取得し、登録時の顔と1:1照合。在席確認のカメラ基盤を共用するため、単独で実装する場合（7人日）より少ない工数で実現できます</t>
        </is>
      </c>
      <c r="D21" s="127" t="n">
        <v>4</v>
      </c>
      <c r="E21" s="112">
        <f>$C$4</f>
        <v/>
      </c>
      <c r="F21" s="112">
        <f>D21*E21</f>
        <v/>
      </c>
    </row>
    <row r="22" ht="30" customHeight="1" s="91">
      <c r="A22" s="5" t="n"/>
      <c r="B22" s="51" t="inlineStr">
        <is>
          <t>システム開発 小計</t>
        </is>
      </c>
      <c r="C22" s="5" t="n"/>
      <c r="D22" s="124">
        <f>SUM(D8:D21)</f>
        <v/>
      </c>
      <c r="E22" s="5" t="n"/>
      <c r="F22" s="117">
        <f>SUM(F8:F21)</f>
        <v/>
      </c>
    </row>
    <row r="23" ht="17" customHeight="1" s="91"/>
    <row r="24" ht="36" customHeight="1" s="91">
      <c r="A24" s="108" t="inlineStr">
        <is>
          <t>2. eラーニング教材の制作</t>
        </is>
      </c>
      <c r="B24" s="93" t="n"/>
      <c r="C24" s="93" t="n"/>
      <c r="D24" s="93" t="n"/>
      <c r="E24" s="93" t="n"/>
      <c r="F24" s="94" t="n"/>
    </row>
    <row r="25">
      <c r="A25" s="59" t="inlineStr">
        <is>
          <t>教材</t>
        </is>
      </c>
      <c r="B25" s="32" t="inlineStr">
        <is>
          <t>特別教育 学科教材の制作</t>
        </is>
      </c>
      <c r="C25" s="35">
        <f>"6科目・学科"&amp;TEXT('04_教材科目'!$D$17,"0.0")&amp;"時間分。構成台本の書き起こし、スライド、図解、ナレーション、バーチャル講師映像、章末問題・修了確認テストの作成"</f>
        <v/>
      </c>
      <c r="D25" s="129">
        <f>'04_教材科目'!$A$17</f>
        <v/>
      </c>
      <c r="E25" s="130">
        <f>'04_教材科目'!$D$4</f>
        <v/>
      </c>
      <c r="F25" s="112">
        <f>'04_教材科目'!$F$17</f>
        <v/>
      </c>
    </row>
    <row r="26" ht="19" customHeight="1" s="91"/>
    <row r="27" ht="17" customHeight="1" s="91">
      <c r="A27" s="5" t="n"/>
      <c r="B27" s="51" t="inlineStr">
        <is>
          <t>小計（税抜）</t>
        </is>
      </c>
      <c r="C27" s="5" t="n"/>
      <c r="D27" s="124">
        <f>D22</f>
        <v/>
      </c>
      <c r="E27" s="5" t="n"/>
      <c r="F27" s="117">
        <f>F22+F25</f>
        <v/>
      </c>
    </row>
    <row r="28" ht="17" customHeight="1" s="91">
      <c r="B28" s="64" t="inlineStr">
        <is>
          <t>全額一括前払いによる調整</t>
        </is>
      </c>
      <c r="C28" s="21" t="inlineStr">
        <is>
          <t>ご発注時に全額をお支払いいただく条件に対する調整額です</t>
        </is>
      </c>
      <c r="D28" s="19" t="n"/>
      <c r="E28" s="19" t="n"/>
      <c r="F28" s="126" t="n">
        <v>-350000</v>
      </c>
    </row>
    <row r="29" ht="17" customHeight="1" s="91">
      <c r="B29" s="65" t="inlineStr">
        <is>
          <t>差引 小計（税抜）</t>
        </is>
      </c>
      <c r="C29" s="19" t="n"/>
      <c r="D29" s="19" t="n"/>
      <c r="E29" s="19" t="n"/>
      <c r="F29" s="116">
        <f>F27+F28</f>
        <v/>
      </c>
    </row>
    <row r="30" ht="24" customHeight="1" s="91">
      <c r="B30" s="65" t="inlineStr">
        <is>
          <t>消費税</t>
        </is>
      </c>
      <c r="C30" s="21" t="inlineStr">
        <is>
          <t>税率</t>
        </is>
      </c>
      <c r="D30" s="66" t="n">
        <v>0.1</v>
      </c>
      <c r="E30" s="19" t="n"/>
      <c r="F30" s="116">
        <f>ROUND(F29*D30,0)</f>
        <v/>
      </c>
    </row>
    <row r="31">
      <c r="A31" s="5" t="n"/>
      <c r="B31" s="39" t="inlineStr">
        <is>
          <t>合計（税込）</t>
        </is>
      </c>
      <c r="C31" s="5" t="n"/>
      <c r="D31" s="5" t="n"/>
      <c r="E31" s="5" t="n"/>
      <c r="F31" s="123">
        <f>F29+F30</f>
        <v/>
      </c>
    </row>
    <row r="32" ht="17" customHeight="1" s="91"/>
    <row r="33" ht="17" customHeight="1" s="91">
      <c r="A33" s="55" t="inlineStr">
        <is>
          <t>■ 今回の範囲から外したもの（第2次発注のご相談）</t>
        </is>
      </c>
    </row>
    <row r="34" ht="17" customHeight="1" s="91">
      <c r="A34" t="inlineStr">
        <is>
          <t>・決済機能（クレジットカード決済代行サービスとの連携）※将来のご導入を予定</t>
        </is>
      </c>
    </row>
    <row r="35" ht="17" customHeight="1" s="91">
      <c r="A35" s="54" t="inlineStr">
        <is>
          <t>・企業管理ポータル（従業員の一括申込、進捗確認、修了者一覧のCSV出力）</t>
        </is>
      </c>
    </row>
    <row r="36" ht="17" customHeight="1" s="91">
      <c r="A36" s="54" t="inlineStr">
        <is>
          <t>・運営管理画面の拡張（監査レポート出力、組織管理、売上・入金管理）</t>
        </is>
      </c>
    </row>
    <row r="37" ht="17" customHeight="1" s="91">
      <c r="A37" s="54" t="inlineStr">
        <is>
          <t>・受講画面からの質疑応答機能（当面はメールで対応）</t>
        </is>
      </c>
    </row>
    <row r="38" ht="17" customHeight="1" s="91">
      <c r="A38" s="54" t="inlineStr">
        <is>
          <t>・修了証の真正性検証ページ（QRコード）</t>
        </is>
      </c>
    </row>
    <row r="39" ht="17" customHeight="1" s="91">
      <c r="A39" s="54" t="inlineStr">
        <is>
          <t>・教材 4科目（低圧電気、第2種酸欠、高所作業車、玉掛け）</t>
        </is>
      </c>
    </row>
    <row r="40" ht="17" customHeight="1" s="91">
      <c r="A40" s="54" t="n"/>
    </row>
    <row r="41" ht="17" customHeight="1" s="91">
      <c r="A41" s="54" t="n"/>
    </row>
    <row r="42" ht="17" customHeight="1" s="91">
      <c r="A42" s="55" t="inlineStr">
        <is>
          <t>■ 本見積に含まれないもの（別途）</t>
        </is>
      </c>
    </row>
    <row r="43" ht="17" customHeight="1" s="91">
      <c r="A43" s="54" t="inlineStr">
        <is>
          <t>・月額の保守・運用サービスおよび法令改正監視・通知サービス（シート05）</t>
        </is>
      </c>
    </row>
    <row r="44">
      <c r="A44" s="54" t="inlineStr">
        <is>
          <t>・サーバーの利用料（聖建様のご負担）</t>
        </is>
      </c>
    </row>
    <row r="45">
      <c r="A45" s="54" t="inlineStr">
        <is>
          <t>・法令改正にともなう教材の改訂（1科目300,000円・都度発注）</t>
        </is>
      </c>
    </row>
  </sheetData>
  <mergeCells count="3">
    <mergeCell ref="A4:B4"/>
    <mergeCell ref="A24:F24"/>
    <mergeCell ref="A7:F7"/>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91" min="1" max="1"/>
    <col width="7" customWidth="1" style="91" min="2" max="2"/>
    <col width="32" customWidth="1" style="91" min="3" max="3"/>
    <col width="8" customWidth="1" style="91" min="4" max="4"/>
    <col width="38" customWidth="1" style="91" min="5" max="5"/>
    <col width="14" customWidth="1" style="91" min="6" max="6"/>
  </cols>
  <sheetData>
    <row r="1" ht="24" customHeight="1" s="91">
      <c r="A1" s="27" t="inlineStr">
        <is>
          <t>eラーニング教材 制作科目一覧（6科目）</t>
        </is>
      </c>
    </row>
    <row r="2" ht="17" customHeight="1" s="91">
      <c r="A2" s="28" t="inlineStr">
        <is>
          <t>A列に 1 を入れた科目が制作対象になります。10科目から6科目へ絞り込んだ状態です。</t>
        </is>
      </c>
    </row>
    <row r="4" ht="17" customHeight="1" s="91">
      <c r="A4" s="5" t="n"/>
      <c r="B4" s="107" t="inlineStr">
        <is>
          <t>制作単価（1科目あたり）</t>
        </is>
      </c>
      <c r="C4" s="5" t="n"/>
      <c r="D4" s="126" t="n">
        <v>300000</v>
      </c>
      <c r="E4" s="21" t="inlineStr">
        <is>
          <t>円／科目</t>
        </is>
      </c>
      <c r="F4" s="5" t="n"/>
    </row>
    <row r="6" ht="32" customHeight="1" s="91">
      <c r="A6" s="97" t="inlineStr">
        <is>
          <t>制作
(1で選択)</t>
        </is>
      </c>
      <c r="B6" s="97" t="inlineStr">
        <is>
          <t>優先
順位</t>
        </is>
      </c>
      <c r="C6" s="97" t="inlineStr">
        <is>
          <t>特別教育の名称</t>
        </is>
      </c>
      <c r="D6" s="97" t="inlineStr">
        <is>
          <t>学科
(時間)</t>
        </is>
      </c>
      <c r="E6" s="97" t="inlineStr">
        <is>
          <t>選定・除外の理由</t>
        </is>
      </c>
      <c r="F6" s="97" t="inlineStr">
        <is>
          <t>制作費</t>
        </is>
      </c>
    </row>
    <row r="7" ht="26" customHeight="1" s="91">
      <c r="A7" s="67" t="n">
        <v>1</v>
      </c>
      <c r="B7" s="68" t="n">
        <v>1</v>
      </c>
      <c r="C7" s="32" t="inlineStr">
        <is>
          <t>フルハーネス型墜落制止用器具</t>
        </is>
      </c>
      <c r="D7" s="131" t="n">
        <v>4.5</v>
      </c>
      <c r="E7" s="35" t="inlineStr">
        <is>
          <t>対象職種が最も広く、初期商品群の中核</t>
        </is>
      </c>
      <c r="F7" s="112">
        <f>IF(A7=1,$D$4,0)</f>
        <v/>
      </c>
    </row>
    <row r="8" ht="26" customHeight="1" s="91">
      <c r="A8" s="67" t="n">
        <v>1</v>
      </c>
      <c r="B8" s="68" t="n">
        <v>2</v>
      </c>
      <c r="C8" s="32" t="inlineStr">
        <is>
          <t>足場の組立て・解体・変更</t>
        </is>
      </c>
      <c r="D8" s="131" t="n">
        <v>6</v>
      </c>
      <c r="E8" s="35" t="inlineStr">
        <is>
          <t>実技の定めがなく、学科のみで修了まで完結する</t>
        </is>
      </c>
      <c r="F8" s="112">
        <f>IF(A8=1,$D$4,0)</f>
        <v/>
      </c>
    </row>
    <row r="9" ht="26" customHeight="1" s="91">
      <c r="A9" s="67" t="n">
        <v>1</v>
      </c>
      <c r="B9" s="68" t="n">
        <v>3</v>
      </c>
      <c r="C9" s="32" t="inlineStr">
        <is>
          <t>自由研削用といし</t>
        </is>
      </c>
      <c r="D9" s="131" t="n">
        <v>4</v>
      </c>
      <c r="E9" s="35" t="inlineStr">
        <is>
          <t>幅広い工種で利用され、学科時間もコンパクト</t>
        </is>
      </c>
      <c r="F9" s="112">
        <f>IF(A9=1,$D$4,0)</f>
        <v/>
      </c>
    </row>
    <row r="10" ht="26" customHeight="1" s="91">
      <c r="A10" s="67" t="n">
        <v>0</v>
      </c>
      <c r="B10" s="68" t="n">
        <v>4</v>
      </c>
      <c r="C10" s="70" t="inlineStr">
        <is>
          <t>低圧電気取扱業務</t>
        </is>
      </c>
      <c r="D10" s="132" t="n">
        <v>7</v>
      </c>
      <c r="E10" s="35" t="inlineStr">
        <is>
          <t>学科7時間と最長級。制作負担が大きく第2次へ</t>
        </is>
      </c>
      <c r="F10" s="112">
        <f>IF(A10=1,$D$4,0)</f>
        <v/>
      </c>
    </row>
    <row r="11" ht="26" customHeight="1" s="91">
      <c r="A11" s="67" t="n">
        <v>1</v>
      </c>
      <c r="B11" s="68" t="n">
        <v>5</v>
      </c>
      <c r="C11" s="32" t="inlineStr">
        <is>
          <t>アーク溶接等</t>
        </is>
      </c>
      <c r="D11" s="131" t="n">
        <v>11</v>
      </c>
      <c r="E11" s="35" t="inlineStr">
        <is>
          <t>既存の制作資産を活用できるため優先</t>
        </is>
      </c>
      <c r="F11" s="112">
        <f>IF(A11=1,$D$4,0)</f>
        <v/>
      </c>
    </row>
    <row r="12" ht="26" customHeight="1" s="91">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91">
      <c r="A13" s="67" t="n">
        <v>1</v>
      </c>
      <c r="B13" s="68" t="n">
        <v>7</v>
      </c>
      <c r="C13" s="32" t="inlineStr">
        <is>
          <t>特定粉じん作業</t>
        </is>
      </c>
      <c r="D13" s="131" t="n">
        <v>4.5</v>
      </c>
      <c r="E13" s="35" t="inlineStr">
        <is>
          <t>実技なし。建設現場の有害業務として汎用性が高い</t>
        </is>
      </c>
      <c r="F13" s="112">
        <f>IF(A13=1,$D$4,0)</f>
        <v/>
      </c>
    </row>
    <row r="14" ht="26" customHeight="1" s="91">
      <c r="A14" s="67" t="n">
        <v>0</v>
      </c>
      <c r="B14" s="68" t="n">
        <v>8</v>
      </c>
      <c r="C14" s="70" t="inlineStr">
        <is>
          <t>第2種酸素欠乏危険作業</t>
        </is>
      </c>
      <c r="D14" s="132" t="n">
        <v>5.5</v>
      </c>
      <c r="E14" s="35" t="inlineStr">
        <is>
          <t>対象職種が設備・土木に限られるため第2次へ</t>
        </is>
      </c>
      <c r="F14" s="112">
        <f>IF(A14=1,$D$4,0)</f>
        <v/>
      </c>
    </row>
    <row r="15" ht="26" customHeight="1" s="91">
      <c r="A15" s="67" t="n">
        <v>0</v>
      </c>
      <c r="B15" s="68" t="n">
        <v>9</v>
      </c>
      <c r="C15" s="70" t="inlineStr">
        <is>
          <t>高所作業車（10m未満）</t>
        </is>
      </c>
      <c r="D15" s="132" t="n">
        <v>6</v>
      </c>
      <c r="E15" s="35" t="inlineStr">
        <is>
          <t>実技3時間を伴い、対象が限定的なため第2次へ</t>
        </is>
      </c>
      <c r="F15" s="112">
        <f>IF(A15=1,$D$4,0)</f>
        <v/>
      </c>
    </row>
    <row r="16" ht="26" customHeight="1" s="91">
      <c r="A16" s="67" t="n">
        <v>0</v>
      </c>
      <c r="B16" s="68" t="n">
        <v>10</v>
      </c>
      <c r="C16" s="70" t="inlineStr">
        <is>
          <t>玉掛け（1t未満）</t>
        </is>
      </c>
      <c r="D16" s="132" t="n">
        <v>5</v>
      </c>
      <c r="E16" s="35" t="inlineStr">
        <is>
          <t>実技4時間を伴い、対象が限定的なため第2次へ</t>
        </is>
      </c>
      <c r="F16" s="112">
        <f>IF(A16=1,$D$4,0)</f>
        <v/>
      </c>
    </row>
    <row r="17" ht="17" customHeight="1" s="91">
      <c r="A17" s="133">
        <f>SUM(A7:A16)</f>
        <v/>
      </c>
      <c r="B17" s="5" t="n"/>
      <c r="C17" s="107" t="inlineStr">
        <is>
          <t>制作対象 合計</t>
        </is>
      </c>
      <c r="D17" s="134">
        <f>SUMPRODUCT($A7:$A16,$D7:$D16)</f>
        <v/>
      </c>
      <c r="E17" s="5" t="n"/>
      <c r="F17" s="135">
        <f>SUM(F7:F16)</f>
        <v/>
      </c>
    </row>
    <row r="19" ht="17" customHeight="1" s="91">
      <c r="A19" s="55" t="inlineStr">
        <is>
          <t>■ 選定の考え方</t>
        </is>
      </c>
    </row>
    <row r="20" ht="17" customHeight="1" s="91">
      <c r="A20" s="54" t="inlineStr">
        <is>
          <t>・実技の定めがない科目（足場・石綿・特定粉じん）を優先し、最短で販売を開始できるようにしています。</t>
        </is>
      </c>
    </row>
    <row r="21" ht="17" customHeight="1" s="91">
      <c r="A21" s="54" t="inlineStr">
        <is>
          <t>・アーク溶接等は既存の制作資産があるため、優先して商品化します。</t>
        </is>
      </c>
    </row>
    <row r="22" ht="17" customHeight="1" s="91">
      <c r="A22" s="54" t="inlineStr">
        <is>
          <t>・除外した4科目は、学科時間が長いか対象職種が限定的なものです。第2次発注でのご検討をお願いします。</t>
        </is>
      </c>
    </row>
    <row r="23" ht="17" customHeight="1" s="91">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91" min="1" max="1"/>
    <col width="32" customWidth="1" style="91" min="2" max="2"/>
    <col width="16" customWidth="1" style="91" min="3" max="3"/>
    <col width="66" customWidth="1" style="91" min="4" max="4"/>
  </cols>
  <sheetData>
    <row r="1" ht="24" customHeight="1" s="91">
      <c r="A1" s="27" t="inlineStr">
        <is>
          <t>月額費用と別途費用</t>
        </is>
      </c>
    </row>
    <row r="2" ht="17" customHeight="1" s="91">
      <c r="A2" s="28" t="inlineStr">
        <is>
          <t>初期費用（シート01）とは別に、下記が発生します。金額はすべて税抜です。</t>
        </is>
      </c>
    </row>
    <row r="4" ht="22" customHeight="1" s="91">
      <c r="A4" s="97" t="inlineStr">
        <is>
          <t>区分</t>
        </is>
      </c>
      <c r="B4" s="97" t="inlineStr">
        <is>
          <t>項目</t>
        </is>
      </c>
      <c r="C4" s="97" t="inlineStr">
        <is>
          <t>月額／単価</t>
        </is>
      </c>
      <c r="D4" s="97" t="inlineStr">
        <is>
          <t>内容</t>
        </is>
      </c>
    </row>
    <row r="5" ht="46" customHeight="1" s="91">
      <c r="A5" s="75" t="inlineStr">
        <is>
          <t>弊社へ
お支払い</t>
        </is>
      </c>
      <c r="B5" s="65" t="inlineStr">
        <is>
          <t>保守・運用サービス</t>
        </is>
      </c>
      <c r="C5" s="126" t="n">
        <v>65000</v>
      </c>
      <c r="D5" s="95" t="inlineStr">
        <is>
          <t>システムの死活監視とエラー監視、障害対応、軽微な改修、受講者からの問い合わせ一次対応、月次レポート。在席確認の離席ログの確認と、カメラが認識しない等の問い合わせ対応が加わるため、前回の60,000円から5,000円増としています</t>
        </is>
      </c>
    </row>
    <row r="6" ht="40" customHeight="1" s="91">
      <c r="A6" s="16" t="n"/>
      <c r="B6" s="65" t="inlineStr">
        <is>
          <t>法令改正監視・通知サービス</t>
        </is>
      </c>
      <c r="C6" s="126" t="n">
        <v>20000</v>
      </c>
      <c r="D6" s="95"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91">
      <c r="A7" s="5" t="n"/>
      <c r="B7" s="51" t="inlineStr">
        <is>
          <t>月額 小計（サーバー費を除く）</t>
        </is>
      </c>
      <c r="C7" s="123">
        <f>SUM(C5:C6)</f>
        <v/>
      </c>
      <c r="D7" s="24" t="inlineStr">
        <is>
          <t>聖建様のご指定額です（85,000円／月）</t>
        </is>
      </c>
    </row>
    <row r="9" ht="36" customHeight="1" s="91">
      <c r="A9" s="75" t="inlineStr">
        <is>
          <t>お客様
ご負担</t>
        </is>
      </c>
      <c r="B9" s="65" t="inlineStr">
        <is>
          <t>AWS 利用料（構成B・推奨）</t>
        </is>
      </c>
      <c r="C9" s="126" t="n">
        <v>22800</v>
      </c>
      <c r="D9" s="95" t="inlineStr">
        <is>
          <t>EC2、RDS PostgreSQL（Multi-AZ・自動バックアップ・PITR）、ElastiCache、ALB、S3、CloudFront、CloudWatch。聖建様名義でのご契約を推奨します</t>
        </is>
      </c>
    </row>
    <row r="10" ht="28" customHeight="1" s="91">
      <c r="A10" s="16" t="n"/>
      <c r="B10" s="65" t="inlineStr">
        <is>
          <t>従量課金（顔照合・配信ほか）</t>
        </is>
      </c>
      <c r="C10" s="76" t="inlineStr">
        <is>
          <t>実費</t>
        </is>
      </c>
      <c r="D10" s="95" t="inlineStr">
        <is>
          <t>顔照合API、ライブネス判定、CDN転送、メール送信。受講者100名／月で約600円（AWS利用料に含まれます）</t>
        </is>
      </c>
    </row>
    <row r="11" ht="32" customHeight="1" s="91">
      <c r="A11" s="16" t="n"/>
      <c r="B11" s="65" t="inlineStr">
        <is>
          <t>株式会社ゼウス（決済代行）※今回は範囲外</t>
        </is>
      </c>
      <c r="C11" s="126" t="n">
        <v>0</v>
      </c>
      <c r="D11" s="95" t="inlineStr">
        <is>
          <t>決済は今回の見積の範囲外です。将来ご導入の際は初期費用無料・月額3,000円・クレジットカード決済手数料 最大3.5%。聖建様が直接ご契約いただきます</t>
        </is>
      </c>
    </row>
    <row r="13" ht="30" customHeight="1" s="91">
      <c r="A13" s="75" t="inlineStr">
        <is>
          <t>都度
発注</t>
        </is>
      </c>
      <c r="B13" s="65" t="inlineStr">
        <is>
          <t>教材の改訂（法令改正対応）</t>
        </is>
      </c>
      <c r="C13" s="115">
        <f>'04_教材科目'!D4</f>
        <v/>
      </c>
      <c r="D13" s="95" t="inlineStr">
        <is>
          <t>1科目あたり。新規制作と同額です。台本の修正、該当部分の動画の再生成と差し替え、教材の版の更新を含みます</t>
        </is>
      </c>
    </row>
    <row r="14" ht="28" customHeight="1" s="91">
      <c r="A14" s="16" t="n"/>
      <c r="B14" s="65" t="inlineStr">
        <is>
          <t>教材の追加制作（第2次）</t>
        </is>
      </c>
      <c r="C14" s="115">
        <f>'04_教材科目'!D4</f>
        <v/>
      </c>
      <c r="D14" s="95" t="inlineStr">
        <is>
          <t>低圧電気、第2種酸欠、高所作業車、玉掛けの4科目。1科目あたり300,000円</t>
        </is>
      </c>
    </row>
    <row r="16" ht="19" customHeight="1" s="91">
      <c r="A16" s="7" t="inlineStr">
        <is>
          <t>参考：月額の合計（聖建様のご負担総額）</t>
        </is>
      </c>
    </row>
    <row r="17" ht="20" customHeight="1" s="91">
      <c r="B17" s="65" t="inlineStr">
        <is>
          <t>弊社サービス ＋ サーバー</t>
        </is>
      </c>
      <c r="C17" s="136">
        <f>'05_月額・別途費用'!C7+C9+C11</f>
        <v/>
      </c>
      <c r="D17" s="21" t="inlineStr">
        <is>
          <t>税抜。決済を導入された場合はゼウスの月額3,000円と決済手数料が加わります</t>
        </is>
      </c>
    </row>
    <row r="19" ht="17" customHeight="1" s="91">
      <c r="A19" s="55" t="inlineStr">
        <is>
          <t>■ 月額85,000円の根拠</t>
        </is>
      </c>
    </row>
    <row r="20" ht="17" customHeight="1" s="91">
      <c r="A20" s="54" t="inlineStr">
        <is>
          <t>聖建様のご指定額（サーバー費を除く月額85,000円）にあわせ、内訳を次のとおり組みました。</t>
        </is>
      </c>
    </row>
    <row r="21" ht="17" customHeight="1" s="91">
      <c r="A21" s="54" t="inlineStr">
        <is>
          <t>・保守・運用サービス　65,000円　… 在席確認の離席ログ確認と問い合わせ対応の増加分を反映しています。</t>
        </is>
      </c>
    </row>
    <row r="22" ht="17" customHeight="1" s="91">
      <c r="A22" s="56" t="inlineStr">
        <is>
          <t xml:space="preserve">　　ランダム顔照合の目視確認は在席確認の画面で一括して行えるため、+20,000円ではなく+5,000円に収まります。</t>
        </is>
      </c>
    </row>
    <row r="23" ht="17" customHeight="1" s="91">
      <c r="A23" s="54" t="inlineStr">
        <is>
          <t>・法令改正監視・通知サービス　20,000円　… 前回から変更ありません。</t>
        </is>
      </c>
    </row>
    <row r="24" ht="17" customHeight="1" s="91">
      <c r="A24" s="54" t="n"/>
    </row>
    <row r="25" ht="17" customHeight="1" s="91">
      <c r="A25" s="55" t="inlineStr">
        <is>
          <t>■ ゼウスについて</t>
        </is>
      </c>
    </row>
    <row r="26" ht="17" customHeight="1" s="91">
      <c r="A26" s="54" t="inlineStr">
        <is>
          <t>・株式会社ゼウス（1994年設立・国内の決済代行事業者）との契約は聖建様が直接行っていただきます。</t>
        </is>
      </c>
    </row>
    <row r="27" ht="17" customHeight="1" s="91">
      <c r="A27" s="54" t="inlineStr">
        <is>
          <t>・初期費用は無料、月額3,000円、クレジットカード決済手数料は最大3.5%です（2026年9月時点）。</t>
        </is>
      </c>
    </row>
    <row r="28" ht="17" customHeight="1" s="91">
      <c r="A28" s="54" t="inlineStr">
        <is>
          <t>・接続方式はデータ転送（API）型を想定しています。申込から入金確認、受講開始までを自動化します。</t>
        </is>
      </c>
    </row>
    <row r="29" ht="17" customHeight="1" s="91">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topLeftCell="A14" zoomScale="121" zoomScaleNormal="121" workbookViewId="0">
      <selection activeCell="C35" sqref="C35"/>
    </sheetView>
  </sheetViews>
  <sheetFormatPr baseColWidth="10" defaultColWidth="8.83203125" defaultRowHeight="14"/>
  <cols>
    <col width="3" customWidth="1" style="91" min="1" max="1"/>
    <col width="20" customWidth="1" style="91" min="2" max="2"/>
    <col width="24" customWidth="1" style="91" min="3" max="3"/>
    <col width="14" customWidth="1" style="91" min="4" max="4"/>
    <col width="16" customWidth="1" style="91" min="5" max="5"/>
    <col width="18" customWidth="1" style="91" min="6" max="6"/>
    <col width="3" customWidth="1" style="91" min="7" max="7"/>
  </cols>
  <sheetData>
    <row r="2" ht="34" customHeight="1" s="91">
      <c r="B2" s="100" t="inlineStr">
        <is>
          <t>注　文　書</t>
        </is>
      </c>
    </row>
    <row r="4" ht="16" customHeight="1" s="91">
      <c r="B4" s="102" t="inlineStr">
        <is>
          <t>注文番号</t>
        </is>
      </c>
      <c r="C4" s="2" t="inlineStr">
        <is>
          <t>SP-2026-0004</t>
        </is>
      </c>
    </row>
    <row r="5" ht="16" customHeight="1" s="91">
      <c r="B5" s="102" t="inlineStr">
        <is>
          <t>発行日</t>
        </is>
      </c>
      <c r="C5" s="2" t="inlineStr">
        <is>
          <t xml:space="preserve">　　年　　　　　月　　　　　日</t>
        </is>
      </c>
    </row>
    <row r="7" ht="25" customHeight="1" s="91">
      <c r="B7" s="96" t="inlineStr">
        <is>
          <t>株式会社スペリオル　御中</t>
        </is>
      </c>
      <c r="E7" s="101" t="inlineStr">
        <is>
          <t>発注者</t>
        </is>
      </c>
    </row>
    <row r="8" ht="22" customHeight="1" s="91">
      <c r="B8" s="102" t="inlineStr">
        <is>
          <t>〒464-0075　名古屋市千種区内山3-18-10</t>
        </is>
      </c>
      <c r="E8" s="110" t="inlineStr">
        <is>
          <t>株式会社聖建</t>
        </is>
      </c>
    </row>
    <row r="9" ht="16" customHeight="1" s="91">
      <c r="B9" s="102" t="inlineStr">
        <is>
          <t>TEL 052-745-6607　／　登録番号 T9180001048541</t>
        </is>
      </c>
      <c r="E9" s="101" t="inlineStr">
        <is>
          <t>〒475-0805　愛知県半田市浜田町1丁目7番地</t>
        </is>
      </c>
    </row>
    <row r="10" ht="17" customHeight="1" s="91">
      <c r="B10" s="54" t="inlineStr">
        <is>
          <t xml:space="preserve">　</t>
        </is>
      </c>
      <c r="E10" s="101" t="inlineStr">
        <is>
          <t>TEL 0569-84-9669</t>
        </is>
      </c>
    </row>
    <row r="11" ht="16" customHeight="1" s="91">
      <c r="E11" s="109" t="inlineStr">
        <is>
          <t>ご担当　　　　　　　　　　　　　　印</t>
        </is>
      </c>
    </row>
    <row r="13" ht="17" customHeight="1" s="91">
      <c r="B13" s="103" t="inlineStr">
        <is>
          <t>下記のとおり注文いたします。</t>
        </is>
      </c>
    </row>
    <row r="15" ht="30" customHeight="1" s="91">
      <c r="B15" s="4" t="inlineStr">
        <is>
          <t>件名</t>
        </is>
      </c>
      <c r="C15" s="106" t="inlineStr">
        <is>
          <t>建設業 特別教育 eラーニング配信システム 構築 および 教材制作（6科目）一式</t>
        </is>
      </c>
      <c r="D15" s="93" t="n"/>
      <c r="E15" s="93" t="n"/>
      <c r="F15" s="94" t="n"/>
    </row>
    <row r="16" ht="17" customHeight="1" s="91">
      <c r="B16" s="4" t="inlineStr">
        <is>
          <t>根拠見積</t>
        </is>
      </c>
      <c r="C16" s="95">
        <f>'01_見積書'!C4&amp;"（"&amp;'01_見積書'!C5&amp;" 発行）"</f>
        <v/>
      </c>
      <c r="D16" s="93" t="n"/>
      <c r="E16" s="93" t="n"/>
      <c r="F16" s="94" t="n"/>
    </row>
    <row r="18" ht="20" customHeight="1" s="91">
      <c r="B18" s="97" t="inlineStr">
        <is>
          <t>区分</t>
        </is>
      </c>
      <c r="C18" s="97" t="inlineStr">
        <is>
          <t>内容</t>
        </is>
      </c>
      <c r="D18" s="97" t="inlineStr">
        <is>
          <t>数量</t>
        </is>
      </c>
      <c r="E18" s="97" t="n"/>
      <c r="F18" s="97" t="inlineStr">
        <is>
          <t>金額（税抜）</t>
        </is>
      </c>
    </row>
    <row r="19" ht="28" customHeight="1" s="91">
      <c r="B19" s="9" t="inlineStr">
        <is>
          <t>システム開発</t>
        </is>
      </c>
      <c r="C19" s="78" t="inlineStr">
        <is>
          <t>配信基盤・視聴整合性・本人確認・在席確認・修了証発行</t>
        </is>
      </c>
      <c r="D19" s="11" t="inlineStr">
        <is>
          <t>一式</t>
        </is>
      </c>
      <c r="E19" s="19" t="n"/>
      <c r="F19" s="112">
        <f>'03_見積明細'!F22</f>
        <v/>
      </c>
    </row>
    <row r="20" ht="28" customHeight="1" s="91">
      <c r="B20" s="9" t="inlineStr">
        <is>
          <t>教材制作</t>
        </is>
      </c>
      <c r="C20" s="78" t="inlineStr">
        <is>
          <t>特別教育 学科教材 6科目</t>
        </is>
      </c>
      <c r="D20" s="113">
        <f>'04_教材科目'!$A$17</f>
        <v/>
      </c>
      <c r="E20" s="19" t="n"/>
      <c r="F20" s="112">
        <f>'04_教材科目'!$F$17</f>
        <v/>
      </c>
    </row>
    <row r="21" ht="17" customHeight="1" s="91">
      <c r="B21" s="29" t="inlineStr">
        <is>
          <t>小計（税抜）</t>
        </is>
      </c>
      <c r="C21" s="16" t="n"/>
      <c r="D21" s="16" t="n"/>
      <c r="E21" s="16" t="n"/>
      <c r="F21" s="114">
        <f>SUM(F19:F20)</f>
        <v/>
      </c>
    </row>
    <row r="22" ht="17" customHeight="1" s="91">
      <c r="B22" s="64" t="inlineStr">
        <is>
          <t>特別値引き</t>
        </is>
      </c>
      <c r="C22" s="79" t="n"/>
      <c r="D22" s="19" t="n"/>
      <c r="E22" s="19" t="n"/>
      <c r="F22" s="115">
        <f>'03_見積明細'!F28</f>
        <v/>
      </c>
    </row>
    <row r="23" ht="17" customHeight="1" s="91">
      <c r="B23" s="65" t="inlineStr">
        <is>
          <t>消費税</t>
        </is>
      </c>
      <c r="C23" s="79" t="n"/>
      <c r="D23" s="80">
        <f>'03_見積明細'!D30</f>
        <v/>
      </c>
      <c r="E23" s="19" t="n"/>
      <c r="F23" s="116">
        <f>ROUND((F21+F22)*D23,0)</f>
        <v/>
      </c>
    </row>
    <row r="24" ht="26" customHeight="1" s="91">
      <c r="B24" s="39" t="inlineStr">
        <is>
          <t>ご注文金額（税込）</t>
        </is>
      </c>
      <c r="C24" s="5" t="n"/>
      <c r="D24" s="5" t="n"/>
      <c r="E24" s="5" t="n"/>
      <c r="F24" s="137">
        <f>F21+F22+F23</f>
        <v/>
      </c>
    </row>
    <row r="26" ht="42" customHeight="1" s="91">
      <c r="B26" s="4" t="inlineStr">
        <is>
          <t>納期</t>
        </is>
      </c>
      <c r="C26" s="95" t="inlineStr">
        <is>
          <t>システム：ご発注後 約4か月　／　教材：第1次3科目 約4か月、第2次3科目 約7か月</t>
        </is>
      </c>
      <c r="D26" s="93" t="n"/>
      <c r="E26" s="93" t="n"/>
      <c r="F26" s="94" t="n"/>
    </row>
    <row r="27" ht="28" customHeight="1" s="91">
      <c r="B27" s="4" t="inlineStr">
        <is>
          <t>納入場所</t>
        </is>
      </c>
      <c r="C27" s="95" t="inlineStr">
        <is>
          <t>貴社ご指定のサーバー環境</t>
        </is>
      </c>
      <c r="D27" s="93" t="n"/>
      <c r="E27" s="93" t="n"/>
      <c r="F27" s="94" t="n"/>
    </row>
    <row r="28" ht="28" customHeight="1" s="91">
      <c r="B28" s="4" t="inlineStr">
        <is>
          <t>検収条件</t>
        </is>
      </c>
      <c r="C28" s="95" t="inlineStr">
        <is>
          <t>納品後14日以内に検収。期間内にご連絡なき場合は検収完了とみなします。</t>
        </is>
      </c>
      <c r="D28" s="93" t="n"/>
      <c r="E28" s="93" t="n"/>
      <c r="F28" s="94" t="n"/>
    </row>
    <row r="29" ht="28" customHeight="1" s="91">
      <c r="B29" s="4" t="inlineStr">
        <is>
          <t>支払条件</t>
        </is>
      </c>
      <c r="C29" s="95" t="inlineStr">
        <is>
          <t>2026年9月29日までに、上記ご注文金額の全額を一括でお支払いいたします。</t>
        </is>
      </c>
      <c r="D29" s="93" t="n"/>
      <c r="E29" s="93" t="n"/>
      <c r="F29" s="94" t="n"/>
    </row>
    <row r="31" ht="17" customHeight="1" s="91">
      <c r="B31" s="26" t="inlineStr">
        <is>
          <t>■ 別途ご負担いただく費用（いずれも税抜）</t>
        </is>
      </c>
    </row>
    <row r="32" ht="17" customHeight="1" s="91">
      <c r="B32" s="104" t="inlineStr">
        <is>
          <t>・月額 保守・運用サービス 65,000円 ＋ 法令改正監視・通知サービス 20,000円　合計 85,000円／月</t>
        </is>
      </c>
    </row>
    <row r="33" ht="17" customHeight="1" s="91">
      <c r="B33" s="104" t="inlineStr">
        <is>
          <t>・サーバー利用料　月額 20,000円程度（受講者数により変動）。貴社名義でのご契約を推奨します</t>
        </is>
      </c>
    </row>
    <row r="34" ht="17" customHeight="1" s="91">
      <c r="B34" s="104"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7:F27"/>
    <mergeCell ref="B7:D7"/>
    <mergeCell ref="E9:F9"/>
    <mergeCell ref="B13:F13"/>
    <mergeCell ref="E8:F8"/>
    <mergeCell ref="C28:F28"/>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5"/>
  <sheetViews>
    <sheetView tabSelected="1" zoomScale="132" zoomScaleNormal="132" workbookViewId="0">
      <selection activeCell="C13" sqref="C13"/>
    </sheetView>
  </sheetViews>
  <sheetFormatPr baseColWidth="10" defaultColWidth="8.83203125" defaultRowHeight="14"/>
  <cols>
    <col width="3" customWidth="1" style="91" min="1" max="1"/>
    <col width="30" customWidth="1" style="91" min="2" max="2"/>
    <col width="88" customWidth="1" style="91" min="3" max="3"/>
  </cols>
  <sheetData>
    <row r="1" ht="24" customHeight="1" s="91">
      <c r="B1" s="85" t="inlineStr">
        <is>
          <t>聖建様　見積前提条件</t>
        </is>
      </c>
      <c r="C1" s="86" t="n"/>
    </row>
    <row r="2">
      <c r="B2" s="86" t="n"/>
      <c r="C2" s="86" t="n"/>
    </row>
    <row r="3" ht="20" customHeight="1" s="91">
      <c r="B3" s="82" t="inlineStr">
        <is>
          <t>■ 1. 本見積に含まれるもの</t>
        </is>
      </c>
      <c r="C3" s="83" t="n"/>
    </row>
    <row r="4" ht="31" customHeight="1" s="91">
      <c r="B4" s="87" t="inlineStr">
        <is>
          <t>システム開発</t>
        </is>
      </c>
      <c r="C4" s="95" t="inlineStr">
        <is>
          <t>配信基盤、視聴整合性、登録時の本人確認、受講開始時の顔照合、在席確認（カメラ前からの離席検知）、受講中のランダム顔照合、確認問題、修了判定、修了証の発行、受講者ポータル、運営管理画面の基本機能。</t>
        </is>
      </c>
    </row>
    <row r="5" ht="34" customHeight="1" s="91">
      <c r="B5" s="87" t="inlineStr">
        <is>
          <t>教材制作</t>
        </is>
      </c>
      <c r="C5" s="95" t="inlineStr">
        <is>
          <t>特別教育 学科教材 6科目。構成台本、スライド、図解、ナレーション、章末問題・修了確認。</t>
        </is>
      </c>
    </row>
    <row r="6" ht="34" customHeight="1" s="91">
      <c r="B6" s="87" t="inlineStr">
        <is>
          <t>修了証</t>
        </is>
      </c>
      <c r="C6" s="95" t="inlineStr">
        <is>
          <t>修了証PDFの自動発行、再発行、受講者によるダウンロード。記載項目は受講者氏名、科目、法定学科時間、有効視聴時間、テスト得点、講師名、発行者、証明書番号。</t>
        </is>
      </c>
    </row>
    <row r="7" ht="22" customHeight="1" s="91">
      <c r="B7" s="87" t="inlineStr">
        <is>
          <t>サーバー環境の構築</t>
        </is>
      </c>
      <c r="C7" s="95" t="inlineStr">
        <is>
          <t>本番運用に耐える構成で構築します。データベースは冗長化し、日次のバックアップを取得します。</t>
        </is>
      </c>
    </row>
    <row r="8">
      <c r="B8" s="86" t="n"/>
      <c r="C8" s="86" t="n"/>
    </row>
    <row r="9" ht="20" customHeight="1" s="91">
      <c r="B9" s="84" t="inlineStr">
        <is>
          <t>■ 2. 在席確認について／本見積に含まれないもの（別途）</t>
        </is>
      </c>
      <c r="C9" s="83" t="n"/>
    </row>
    <row r="10" ht="34" customHeight="1" s="91">
      <c r="B10" s="88" t="inlineStr">
        <is>
          <t>在席確認の方式</t>
        </is>
      </c>
      <c r="C10" s="89" t="inlineStr">
        <is>
          <t>カメラ映像の判定は受講者の端末内で行い、映像・画像をサーバーへ送信しません。
離席を検知すると再生を自動停止し、離席していた時間は有効視聴時間から除外します。</t>
        </is>
      </c>
    </row>
    <row r="11" ht="22" customHeight="1" s="91">
      <c r="B11" s="87" t="inlineStr">
        <is>
          <t>決済機能</t>
        </is>
      </c>
      <c r="C11" s="95" t="inlineStr">
        <is>
          <t>オンラインでの受講料決済は今回の範囲に含みません。将来ご導入の際に別途お見積りいたします。</t>
        </is>
      </c>
    </row>
    <row r="12" ht="22" customHeight="1" s="91">
      <c r="B12" s="87" t="inlineStr">
        <is>
          <t>月額サービス</t>
        </is>
      </c>
      <c r="C12" s="95" t="inlineStr">
        <is>
          <t>保守・運用サービス 65,000円／月、法令改正監視・通知サービス 20,000円／月。合計85,000円／月（税抜）。</t>
        </is>
      </c>
    </row>
    <row r="13" ht="22" customHeight="1" s="91">
      <c r="B13" s="87" t="inlineStr">
        <is>
          <t>サーバー利用料</t>
        </is>
      </c>
      <c r="C13" s="95" t="inlineStr">
        <is>
          <t>貴社のご負担とします。月額20,000円程度（税抜）。貴社名義でのご契約をお願いします。</t>
        </is>
      </c>
    </row>
    <row r="14" ht="22" customHeight="1" s="91">
      <c r="B14" s="87" t="inlineStr">
        <is>
          <t>教材の改訂・追加</t>
        </is>
      </c>
      <c r="C14" s="95" t="inlineStr">
        <is>
          <t>1科目300,000円（都度発注）。</t>
        </is>
      </c>
    </row>
    <row r="15">
      <c r="B15" s="87" t="inlineStr">
        <is>
          <t>教材の監修</t>
        </is>
      </c>
      <c r="C15" s="95" t="inlineStr">
        <is>
          <t>内容の監修は貴社の社内有資格者が担われる前提です。</t>
        </is>
      </c>
    </row>
    <row r="16" ht="20" customHeight="1" s="91">
      <c r="B16" s="86" t="n"/>
      <c r="C16" s="86" t="n"/>
    </row>
    <row r="17" ht="34" customHeight="1" s="91">
      <c r="B17" s="82" t="inlineStr">
        <is>
          <t>■ 3. 責任の分担</t>
        </is>
      </c>
      <c r="C17" s="83" t="n"/>
    </row>
    <row r="18" ht="34" customHeight="1" s="91">
      <c r="B18" s="87" t="inlineStr">
        <is>
          <t>弊社が保証すること</t>
        </is>
      </c>
      <c r="C18" s="95" t="inlineStr">
        <is>
          <t>教材が安全衛生特別教育規程の定める科目・範囲・時間を満たすこと（監修者名を明示）。受講記録を証明可能な形で保存・出力できること。</t>
        </is>
      </c>
    </row>
    <row r="19" ht="34" customHeight="1" s="91">
      <c r="B19" s="87" t="inlineStr">
        <is>
          <t>弊社が保証しないこと</t>
        </is>
      </c>
      <c r="C19" s="95" t="inlineStr">
        <is>
          <t>受講者の所属事業者が負う労働安全衛生法第59条第3項の実施義務が果たされたこと。労働災害が発生しないこと。行政機関が個別の事案において本教材を適法と判断すること。</t>
        </is>
      </c>
    </row>
    <row r="20">
      <c r="B20" s="87" t="inlineStr">
        <is>
          <t>法令改正への対応</t>
        </is>
      </c>
      <c r="C20" s="95" t="inlineStr">
        <is>
          <t>弊社は官報・通達を監視し、該当しうる改正を自動でメール通知します。その改正が教材のどこに影響するかの判断は、貴社の監修者が行うものとします。</t>
        </is>
      </c>
    </row>
    <row r="21" ht="20" customHeight="1" s="91">
      <c r="B21" s="86" t="n"/>
      <c r="C21" s="86" t="n"/>
    </row>
    <row r="22" ht="22" customHeight="1" s="91">
      <c r="B22" s="82" t="inlineStr">
        <is>
          <t>■ 4. 金額の前提</t>
        </is>
      </c>
      <c r="C22" s="83" t="n"/>
    </row>
    <row r="23" ht="22" customHeight="1" s="91">
      <c r="B23" s="87" t="inlineStr">
        <is>
          <t>教材制作単価</t>
        </is>
      </c>
      <c r="C23" s="95" t="inlineStr">
        <is>
          <t>300,000円／科目。貴社ご指定の単価です。改訂・追加時も同額を適用します。</t>
        </is>
      </c>
    </row>
    <row r="24" ht="22" customHeight="1" s="91">
      <c r="B24" s="87" t="inlineStr">
        <is>
          <t>支払条件</t>
        </is>
      </c>
      <c r="C24" s="95" t="inlineStr">
        <is>
          <t>2026年9月29日までに全額を一括でお支払いいただくことを前提とした金額です。</t>
        </is>
      </c>
    </row>
    <row r="25">
      <c r="B25" s="87" t="inlineStr">
        <is>
          <t>有効期限</t>
        </is>
      </c>
      <c r="C25" s="95"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2026-09-14T03:03:31Z</dcterms:modified>
  <cp:lastModifiedBy>浩章 藤原</cp:lastModifiedBy>
  <cp:lastPrinted>2026-09-13T14:45:06Z</cp:lastPrinted>
</cp:coreProperties>
</file>