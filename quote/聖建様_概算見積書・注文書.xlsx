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1_見積書" sheetId="1" state="visible" r:id="rId3"/>
    <sheet name="02_見積明細" sheetId="2" state="visible" r:id="rId4"/>
    <sheet name="03_教材科目" sheetId="3" state="visible" r:id="rId5"/>
    <sheet name="04_月額・別途費用" sheetId="4" state="visible" r:id="rId6"/>
    <sheet name="05_注文書" sheetId="5" state="visible" r:id="rId7"/>
    <sheet name="06_前提条件" sheetId="6" state="visible" r:id="rId8"/>
  </sheets>
  <definedNames>
    <definedName function="false" hidden="false" localSheetId="0" name="_xlnm.Print_Area" vbProcedure="false">01_見積書!$A$1:$G$42</definedName>
    <definedName function="false" hidden="false" localSheetId="1" name="_xlnm.Print_Area" vbProcedure="false">02_見積明細!$A$1:$F$50</definedName>
    <definedName function="false" hidden="false" localSheetId="2" name="_xlnm.Print_Area" vbProcedure="false">03_教材科目!$A$1:$F$30</definedName>
    <definedName function="false" hidden="false" localSheetId="3" name="_xlnm.Print_Area" vbProcedure="false">04_月額・別途費用!$A$1:$D$40</definedName>
    <definedName function="false" hidden="false" localSheetId="4" name="_xlnm.Print_Area" vbProcedure="false">05_注文書!$A$1:$G$34</definedName>
    <definedName function="false" hidden="false" localSheetId="5" name="_xlnm.Print_Area" vbProcedure="false">06_前提条件!$A$1:$C$34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WenQuanYi Zen Hei"/>
            <family val="2"/>
          </rPr>
          <t xml:space="preserve">設計・実装・テストを含む標準人日単価。御社の基準単価に差し替えてください。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WenQuanYi Zen Hei"/>
            <family val="2"/>
          </rPr>
          <t xml:space="preserve">聖建様ご指定の単価。構成台本、スライド、図解、ナレーション、バーチャル講師映像、章末問題・修了確認テストの作成まで。撮影は行いません。法令改正時の改訂も同額を適用します。</t>
        </r>
      </text>
    </comment>
  </commentList>
</comments>
</file>

<file path=xl/sharedStrings.xml><?xml version="1.0" encoding="utf-8"?>
<sst xmlns="http://schemas.openxmlformats.org/spreadsheetml/2006/main" count="290" uniqueCount="251">
  <si>
    <t xml:space="preserve">御　見　積　書</t>
  </si>
  <si>
    <t xml:space="preserve">見積番号</t>
  </si>
  <si>
    <t xml:space="preserve">SP-2026-0001</t>
  </si>
  <si>
    <t xml:space="preserve">発行日</t>
  </si>
  <si>
    <r>
      <rPr>
        <sz val="9"/>
        <color rgb="FF0000FF"/>
        <rFont val="Meiryo"/>
        <family val="0"/>
        <charset val="1"/>
      </rPr>
      <t xml:space="preserve">2026</t>
    </r>
    <r>
      <rPr>
        <sz val="9"/>
        <color rgb="FF0000FF"/>
        <rFont val="WenQuanYi Zen Hei"/>
        <family val="2"/>
      </rPr>
      <t xml:space="preserve">年</t>
    </r>
    <r>
      <rPr>
        <sz val="9"/>
        <color rgb="FF0000FF"/>
        <rFont val="Meiryo"/>
        <family val="0"/>
        <charset val="1"/>
      </rPr>
      <t xml:space="preserve">9</t>
    </r>
    <r>
      <rPr>
        <sz val="9"/>
        <color rgb="FF0000FF"/>
        <rFont val="WenQuanYi Zen Hei"/>
        <family val="2"/>
      </rPr>
      <t xml:space="preserve">月</t>
    </r>
    <r>
      <rPr>
        <sz val="9"/>
        <color rgb="FF0000FF"/>
        <rFont val="Meiryo"/>
        <family val="0"/>
        <charset val="1"/>
      </rPr>
      <t xml:space="preserve">8</t>
    </r>
    <r>
      <rPr>
        <sz val="9"/>
        <color rgb="FF0000FF"/>
        <rFont val="WenQuanYi Zen Hei"/>
        <family val="2"/>
      </rPr>
      <t xml:space="preserve">日</t>
    </r>
  </si>
  <si>
    <t xml:space="preserve">有効期限</t>
  </si>
  <si>
    <r>
      <rPr>
        <sz val="9"/>
        <color rgb="FF0000FF"/>
        <rFont val="WenQuanYi Zen Hei"/>
        <family val="2"/>
      </rPr>
      <t xml:space="preserve">発行日より</t>
    </r>
    <r>
      <rPr>
        <sz val="9"/>
        <color rgb="FF0000FF"/>
        <rFont val="Meiryo"/>
        <family val="0"/>
        <charset val="1"/>
      </rPr>
      <t xml:space="preserve">60</t>
    </r>
    <r>
      <rPr>
        <sz val="9"/>
        <color rgb="FF0000FF"/>
        <rFont val="WenQuanYi Zen Hei"/>
        <family val="2"/>
      </rPr>
      <t xml:space="preserve">日間</t>
    </r>
  </si>
  <si>
    <t xml:space="preserve">株式会社聖建　御中</t>
  </si>
  <si>
    <t xml:space="preserve">株式会社スペリオル</t>
  </si>
  <si>
    <r>
      <rPr>
        <sz val="9"/>
        <color rgb="FF6C7A87"/>
        <rFont val="WenQuanYi Zen Hei"/>
        <family val="2"/>
      </rPr>
      <t xml:space="preserve">〒</t>
    </r>
    <r>
      <rPr>
        <sz val="9"/>
        <color rgb="FF6C7A87"/>
        <rFont val="Meiryo"/>
        <family val="0"/>
        <charset val="1"/>
      </rPr>
      <t xml:space="preserve">475-0805</t>
    </r>
    <r>
      <rPr>
        <sz val="9"/>
        <color rgb="FF6C7A87"/>
        <rFont val="WenQuanYi Zen Hei"/>
        <family val="2"/>
      </rPr>
      <t xml:space="preserve">　愛知県半田市浜田町</t>
    </r>
    <r>
      <rPr>
        <sz val="9"/>
        <color rgb="FF6C7A87"/>
        <rFont val="Meiryo"/>
        <family val="0"/>
        <charset val="1"/>
      </rPr>
      <t xml:space="preserve">1</t>
    </r>
    <r>
      <rPr>
        <sz val="9"/>
        <color rgb="FF6C7A87"/>
        <rFont val="WenQuanYi Zen Hei"/>
        <family val="2"/>
      </rPr>
      <t xml:space="preserve">丁目</t>
    </r>
    <r>
      <rPr>
        <sz val="9"/>
        <color rgb="FF6C7A87"/>
        <rFont val="Meiryo"/>
        <family val="0"/>
        <charset val="1"/>
      </rPr>
      <t xml:space="preserve">7</t>
    </r>
    <r>
      <rPr>
        <sz val="9"/>
        <color rgb="FF6C7A87"/>
        <rFont val="WenQuanYi Zen Hei"/>
        <family val="2"/>
      </rPr>
      <t xml:space="preserve">番地</t>
    </r>
  </si>
  <si>
    <t xml:space="preserve">所在地</t>
  </si>
  <si>
    <t xml:space="preserve">〒　　　　　（ご記入ください）</t>
  </si>
  <si>
    <t xml:space="preserve">営業部　津隈 佑己 様</t>
  </si>
  <si>
    <t xml:space="preserve">TEL / FAX</t>
  </si>
  <si>
    <t xml:space="preserve">（ご記入ください）</t>
  </si>
  <si>
    <t xml:space="preserve">登録番号（適格請求書）</t>
  </si>
  <si>
    <r>
      <rPr>
        <sz val="8.5"/>
        <color rgb="FF0000FF"/>
        <rFont val="Meiryo"/>
        <family val="0"/>
        <charset val="1"/>
      </rPr>
      <t xml:space="preserve">T</t>
    </r>
    <r>
      <rPr>
        <sz val="8.5"/>
        <color rgb="FF0000FF"/>
        <rFont val="WenQuanYi Zen Hei"/>
        <family val="2"/>
      </rPr>
      <t xml:space="preserve">　　　　　　　　　　　</t>
    </r>
  </si>
  <si>
    <t xml:space="preserve">担当</t>
  </si>
  <si>
    <t xml:space="preserve">藤原</t>
  </si>
  <si>
    <t xml:space="preserve">下記のとおりお見積り申し上げます。</t>
  </si>
  <si>
    <t xml:space="preserve">件名</t>
  </si>
  <si>
    <r>
      <rPr>
        <sz val="10"/>
        <color rgb="FF1A2430"/>
        <rFont val="WenQuanYi Zen Hei"/>
        <family val="2"/>
      </rPr>
      <t xml:space="preserve">建設業 特別教育 </t>
    </r>
    <r>
      <rPr>
        <sz val="10"/>
        <color rgb="FF1A2430"/>
        <rFont val="Meiryo"/>
        <family val="0"/>
        <charset val="1"/>
      </rPr>
      <t xml:space="preserve">e</t>
    </r>
    <r>
      <rPr>
        <sz val="10"/>
        <color rgb="FF1A2430"/>
        <rFont val="WenQuanYi Zen Hei"/>
        <family val="2"/>
      </rPr>
      <t xml:space="preserve">ラーニング配信システム 構築 および 教材制作（</t>
    </r>
    <r>
      <rPr>
        <sz val="10"/>
        <color rgb="FF1A2430"/>
        <rFont val="Meiryo"/>
        <family val="0"/>
        <charset val="1"/>
      </rPr>
      <t xml:space="preserve">10</t>
    </r>
    <r>
      <rPr>
        <sz val="10"/>
        <color rgb="FF1A2430"/>
        <rFont val="WenQuanYi Zen Hei"/>
        <family val="2"/>
      </rPr>
      <t xml:space="preserve">科目）一式</t>
    </r>
  </si>
  <si>
    <t xml:space="preserve">御見積金額</t>
  </si>
  <si>
    <t xml:space="preserve">納期</t>
  </si>
  <si>
    <r>
      <rPr>
        <sz val="9.5"/>
        <color rgb="FF1A2430"/>
        <rFont val="WenQuanYi Zen Hei"/>
        <family val="2"/>
      </rPr>
      <t xml:space="preserve">システム：ご発注後 約</t>
    </r>
    <r>
      <rPr>
        <sz val="9.5"/>
        <color rgb="FF1A2430"/>
        <rFont val="Meiryo"/>
        <family val="0"/>
        <charset val="1"/>
      </rPr>
      <t xml:space="preserve">4</t>
    </r>
    <r>
      <rPr>
        <sz val="9.5"/>
        <color rgb="FF1A2430"/>
        <rFont val="WenQuanYi Zen Hei"/>
        <family val="2"/>
      </rPr>
      <t xml:space="preserve">か月　／　教材：第</t>
    </r>
    <r>
      <rPr>
        <sz val="9.5"/>
        <color rgb="FF1A2430"/>
        <rFont val="Meiryo"/>
        <family val="0"/>
        <charset val="1"/>
      </rPr>
      <t xml:space="preserve">1</t>
    </r>
    <r>
      <rPr>
        <sz val="9.5"/>
        <color rgb="FF1A2430"/>
        <rFont val="WenQuanYi Zen Hei"/>
        <family val="2"/>
      </rPr>
      <t xml:space="preserve">次</t>
    </r>
    <r>
      <rPr>
        <sz val="9.5"/>
        <color rgb="FF1A2430"/>
        <rFont val="Meiryo"/>
        <family val="0"/>
        <charset val="1"/>
      </rPr>
      <t xml:space="preserve">3</t>
    </r>
    <r>
      <rPr>
        <sz val="9.5"/>
        <color rgb="FF1A2430"/>
        <rFont val="WenQuanYi Zen Hei"/>
        <family val="2"/>
      </rPr>
      <t xml:space="preserve">科目 約</t>
    </r>
    <r>
      <rPr>
        <sz val="9.5"/>
        <color rgb="FF1A2430"/>
        <rFont val="Meiryo"/>
        <family val="0"/>
        <charset val="1"/>
      </rPr>
      <t xml:space="preserve">4</t>
    </r>
    <r>
      <rPr>
        <sz val="9.5"/>
        <color rgb="FF1A2430"/>
        <rFont val="WenQuanYi Zen Hei"/>
        <family val="2"/>
      </rPr>
      <t xml:space="preserve">か月、第</t>
    </r>
    <r>
      <rPr>
        <sz val="9.5"/>
        <color rgb="FF1A2430"/>
        <rFont val="Meiryo"/>
        <family val="0"/>
        <charset val="1"/>
      </rPr>
      <t xml:space="preserve">2</t>
    </r>
    <r>
      <rPr>
        <sz val="9.5"/>
        <color rgb="FF1A2430"/>
        <rFont val="WenQuanYi Zen Hei"/>
        <family val="2"/>
      </rPr>
      <t xml:space="preserve">次</t>
    </r>
    <r>
      <rPr>
        <sz val="9.5"/>
        <color rgb="FF1A2430"/>
        <rFont val="Meiryo"/>
        <family val="0"/>
        <charset val="1"/>
      </rPr>
      <t xml:space="preserve">4</t>
    </r>
    <r>
      <rPr>
        <sz val="9.5"/>
        <color rgb="FF1A2430"/>
        <rFont val="WenQuanYi Zen Hei"/>
        <family val="2"/>
      </rPr>
      <t xml:space="preserve">科目 約</t>
    </r>
    <r>
      <rPr>
        <sz val="9.5"/>
        <color rgb="FF1A2430"/>
        <rFont val="Meiryo"/>
        <family val="0"/>
        <charset val="1"/>
      </rPr>
      <t xml:space="preserve">7</t>
    </r>
    <r>
      <rPr>
        <sz val="9.5"/>
        <color rgb="FF1A2430"/>
        <rFont val="WenQuanYi Zen Hei"/>
        <family val="2"/>
      </rPr>
      <t xml:space="preserve">か月、第</t>
    </r>
    <r>
      <rPr>
        <sz val="9.5"/>
        <color rgb="FF1A2430"/>
        <rFont val="Meiryo"/>
        <family val="0"/>
        <charset val="1"/>
      </rPr>
      <t xml:space="preserve">3</t>
    </r>
    <r>
      <rPr>
        <sz val="9.5"/>
        <color rgb="FF1A2430"/>
        <rFont val="WenQuanYi Zen Hei"/>
        <family val="2"/>
      </rPr>
      <t xml:space="preserve">次</t>
    </r>
    <r>
      <rPr>
        <sz val="9.5"/>
        <color rgb="FF1A2430"/>
        <rFont val="Meiryo"/>
        <family val="0"/>
        <charset val="1"/>
      </rPr>
      <t xml:space="preserve">3</t>
    </r>
    <r>
      <rPr>
        <sz val="9.5"/>
        <color rgb="FF1A2430"/>
        <rFont val="WenQuanYi Zen Hei"/>
        <family val="2"/>
      </rPr>
      <t xml:space="preserve">科目 約</t>
    </r>
    <r>
      <rPr>
        <sz val="9.5"/>
        <color rgb="FF1A2430"/>
        <rFont val="Meiryo"/>
        <family val="0"/>
        <charset val="1"/>
      </rPr>
      <t xml:space="preserve">10</t>
    </r>
    <r>
      <rPr>
        <sz val="9.5"/>
        <color rgb="FF1A2430"/>
        <rFont val="WenQuanYi Zen Hei"/>
        <family val="2"/>
      </rPr>
      <t xml:space="preserve">か月</t>
    </r>
  </si>
  <si>
    <t xml:space="preserve">納入場所</t>
  </si>
  <si>
    <r>
      <rPr>
        <sz val="9.5"/>
        <color rgb="FF1A2430"/>
        <rFont val="WenQuanYi Zen Hei"/>
        <family val="2"/>
      </rPr>
      <t xml:space="preserve">貴社ご指定の</t>
    </r>
    <r>
      <rPr>
        <sz val="9.5"/>
        <color rgb="FF1A2430"/>
        <rFont val="Meiryo"/>
        <family val="0"/>
        <charset val="1"/>
      </rPr>
      <t xml:space="preserve">AWS</t>
    </r>
    <r>
      <rPr>
        <sz val="9.5"/>
        <color rgb="FF1A2430"/>
        <rFont val="WenQuanYi Zen Hei"/>
        <family val="2"/>
      </rPr>
      <t xml:space="preserve">環境</t>
    </r>
  </si>
  <si>
    <t xml:space="preserve">検収条件</t>
  </si>
  <si>
    <r>
      <rPr>
        <sz val="9.5"/>
        <color rgb="FF1A2430"/>
        <rFont val="WenQuanYi Zen Hei"/>
        <family val="2"/>
      </rPr>
      <t xml:space="preserve">納品後</t>
    </r>
    <r>
      <rPr>
        <sz val="9.5"/>
        <color rgb="FF1A2430"/>
        <rFont val="Meiryo"/>
        <family val="0"/>
        <charset val="1"/>
      </rPr>
      <t xml:space="preserve">14</t>
    </r>
    <r>
      <rPr>
        <sz val="9.5"/>
        <color rgb="FF1A2430"/>
        <rFont val="WenQuanYi Zen Hei"/>
        <family val="2"/>
      </rPr>
      <t xml:space="preserve">日以内に貴社にて検収。期間内にご連絡なき場合は検収完了とみなします。</t>
    </r>
  </si>
  <si>
    <t xml:space="preserve">支払条件</t>
  </si>
  <si>
    <r>
      <rPr>
        <sz val="9.5"/>
        <color rgb="FF1A2430"/>
        <rFont val="WenQuanYi Zen Hei"/>
        <family val="2"/>
      </rPr>
      <t xml:space="preserve">着手時</t>
    </r>
    <r>
      <rPr>
        <sz val="9.5"/>
        <color rgb="FF1A2430"/>
        <rFont val="Meiryo"/>
        <family val="0"/>
        <charset val="1"/>
      </rPr>
      <t xml:space="preserve">40%</t>
    </r>
    <r>
      <rPr>
        <sz val="9.5"/>
        <color rgb="FF1A2430"/>
        <rFont val="WenQuanYi Zen Hei"/>
        <family val="2"/>
      </rPr>
      <t xml:space="preserve">・システム検収時</t>
    </r>
    <r>
      <rPr>
        <sz val="9.5"/>
        <color rgb="FF1A2430"/>
        <rFont val="Meiryo"/>
        <family val="0"/>
        <charset val="1"/>
      </rPr>
      <t xml:space="preserve">30%</t>
    </r>
    <r>
      <rPr>
        <sz val="9.5"/>
        <color rgb="FF1A2430"/>
        <rFont val="WenQuanYi Zen Hei"/>
        <family val="2"/>
      </rPr>
      <t xml:space="preserve">・全教材納品時</t>
    </r>
    <r>
      <rPr>
        <sz val="9.5"/>
        <color rgb="FF1A2430"/>
        <rFont val="Meiryo"/>
        <family val="0"/>
        <charset val="1"/>
      </rPr>
      <t xml:space="preserve">30%</t>
    </r>
    <r>
      <rPr>
        <sz val="9.5"/>
        <color rgb="FF1A2430"/>
        <rFont val="WenQuanYi Zen Hei"/>
        <family val="2"/>
      </rPr>
      <t xml:space="preserve">。検収月末締め翌月末日払い。</t>
    </r>
  </si>
  <si>
    <t xml:space="preserve">備考</t>
  </si>
  <si>
    <r>
      <rPr>
        <sz val="9.5"/>
        <color rgb="FF1A2430"/>
        <rFont val="WenQuanYi Zen Hei"/>
        <family val="2"/>
      </rPr>
      <t xml:space="preserve">本書は概算見積です。月額費用・</t>
    </r>
    <r>
      <rPr>
        <sz val="9.5"/>
        <color rgb="FF1A2430"/>
        <rFont val="Meiryo"/>
        <family val="0"/>
        <charset val="1"/>
      </rPr>
      <t xml:space="preserve">AWS</t>
    </r>
    <r>
      <rPr>
        <sz val="9.5"/>
        <color rgb="FF1A2430"/>
        <rFont val="WenQuanYi Zen Hei"/>
        <family val="2"/>
      </rPr>
      <t xml:space="preserve">利用料・教材の改訂費は含みません（シート</t>
    </r>
    <r>
      <rPr>
        <sz val="9.5"/>
        <color rgb="FF1A2430"/>
        <rFont val="Meiryo"/>
        <family val="0"/>
        <charset val="1"/>
      </rPr>
      <t xml:space="preserve">04</t>
    </r>
    <r>
      <rPr>
        <sz val="9.5"/>
        <color rgb="FF1A2430"/>
        <rFont val="WenQuanYi Zen Hei"/>
        <family val="2"/>
      </rPr>
      <t xml:space="preserve">）。</t>
    </r>
  </si>
  <si>
    <t xml:space="preserve">内訳</t>
  </si>
  <si>
    <t xml:space="preserve">区分</t>
  </si>
  <si>
    <t xml:space="preserve">内容</t>
  </si>
  <si>
    <t xml:space="preserve">数量</t>
  </si>
  <si>
    <t xml:space="preserve">金額（税抜）</t>
  </si>
  <si>
    <t xml:space="preserve">システム開発</t>
  </si>
  <si>
    <t xml:space="preserve">配信基盤・視聴整合性・本人確認・修了判定</t>
  </si>
  <si>
    <t xml:space="preserve">教材制作</t>
  </si>
  <si>
    <r>
      <rPr>
        <sz val="9.5"/>
        <color rgb="FF1A2430"/>
        <rFont val="WenQuanYi Zen Hei"/>
        <family val="2"/>
      </rPr>
      <t xml:space="preserve">特別教育 学科教材 </t>
    </r>
    <r>
      <rPr>
        <sz val="9.5"/>
        <color rgb="FF1A2430"/>
        <rFont val="Meiryo"/>
        <family val="0"/>
        <charset val="1"/>
      </rPr>
      <t xml:space="preserve">10</t>
    </r>
    <r>
      <rPr>
        <sz val="9.5"/>
        <color rgb="FF1A2430"/>
        <rFont val="WenQuanYi Zen Hei"/>
        <family val="2"/>
      </rPr>
      <t xml:space="preserve">科目（学科</t>
    </r>
    <r>
      <rPr>
        <sz val="9.5"/>
        <color rgb="FF1A2430"/>
        <rFont val="Meiryo"/>
        <family val="0"/>
        <charset val="1"/>
      </rPr>
      <t xml:space="preserve">58</t>
    </r>
    <r>
      <rPr>
        <sz val="9.5"/>
        <color rgb="FF1A2430"/>
        <rFont val="WenQuanYi Zen Hei"/>
        <family val="2"/>
      </rPr>
      <t xml:space="preserve">時間分）</t>
    </r>
  </si>
  <si>
    <t xml:space="preserve">小計</t>
  </si>
  <si>
    <t xml:space="preserve">（税抜）</t>
  </si>
  <si>
    <t xml:space="preserve">差引小計</t>
  </si>
  <si>
    <t xml:space="preserve">調整額を反映</t>
  </si>
  <si>
    <t xml:space="preserve">消費税</t>
  </si>
  <si>
    <t xml:space="preserve">合計</t>
  </si>
  <si>
    <t xml:space="preserve">（税込）</t>
  </si>
  <si>
    <t xml:space="preserve">■ 別途ご負担いただく費用</t>
  </si>
  <si>
    <r>
      <rPr>
        <sz val="9.5"/>
        <color rgb="FF1A2430"/>
        <rFont val="WenQuanYi Zen Hei"/>
        <family val="2"/>
      </rPr>
      <t xml:space="preserve">・月額 保守・運用サービス および 法令改正監視・通知サービス　合計 </t>
    </r>
    <r>
      <rPr>
        <sz val="9.5"/>
        <color rgb="FF1A2430"/>
        <rFont val="Meiryo"/>
        <family val="0"/>
        <charset val="1"/>
      </rPr>
      <t xml:space="preserve">100,000</t>
    </r>
    <r>
      <rPr>
        <sz val="9.5"/>
        <color rgb="FF1A2430"/>
        <rFont val="WenQuanYi Zen Hei"/>
        <family val="2"/>
      </rPr>
      <t xml:space="preserve">円／月（税抜）</t>
    </r>
  </si>
  <si>
    <r>
      <rPr>
        <sz val="9.5"/>
        <color rgb="FF1A2430"/>
        <rFont val="WenQuanYi Zen Hei"/>
        <family val="2"/>
      </rPr>
      <t xml:space="preserve">・</t>
    </r>
    <r>
      <rPr>
        <sz val="9.5"/>
        <color rgb="FF1A2430"/>
        <rFont val="Meiryo"/>
        <family val="0"/>
        <charset val="1"/>
      </rPr>
      <t xml:space="preserve">AWS </t>
    </r>
    <r>
      <rPr>
        <sz val="9.5"/>
        <color rgb="FF1A2430"/>
        <rFont val="WenQuanYi Zen Hei"/>
        <family val="2"/>
      </rPr>
      <t xml:space="preserve">利用料　月額 </t>
    </r>
    <r>
      <rPr>
        <sz val="9.5"/>
        <color rgb="FF1A2430"/>
        <rFont val="Meiryo"/>
        <family val="0"/>
        <charset val="1"/>
      </rPr>
      <t xml:space="preserve">22,800</t>
    </r>
    <r>
      <rPr>
        <sz val="9.5"/>
        <color rgb="FF1A2430"/>
        <rFont val="WenQuanYi Zen Hei"/>
        <family val="2"/>
      </rPr>
      <t xml:space="preserve">円程度（税抜・推奨構成・受講者数により変動）。聖建様名義でのご契約を推奨します</t>
    </r>
  </si>
  <si>
    <r>
      <rPr>
        <sz val="9.5"/>
        <color rgb="FF1A2430"/>
        <rFont val="WenQuanYi Zen Hei"/>
        <family val="2"/>
      </rPr>
      <t xml:space="preserve">・法令改正にともなう教材の改訂　</t>
    </r>
    <r>
      <rPr>
        <sz val="9.5"/>
        <color rgb="FF1A2430"/>
        <rFont val="Meiryo"/>
        <family val="0"/>
        <charset val="1"/>
      </rPr>
      <t xml:space="preserve">1</t>
    </r>
    <r>
      <rPr>
        <sz val="9.5"/>
        <color rgb="FF1A2430"/>
        <rFont val="WenQuanYi Zen Hei"/>
        <family val="2"/>
      </rPr>
      <t xml:space="preserve">科目 </t>
    </r>
    <r>
      <rPr>
        <sz val="9.5"/>
        <color rgb="FF1A2430"/>
        <rFont val="Meiryo"/>
        <family val="0"/>
        <charset val="1"/>
      </rPr>
      <t xml:space="preserve">300,000</t>
    </r>
    <r>
      <rPr>
        <sz val="9.5"/>
        <color rgb="FF1A2430"/>
        <rFont val="WenQuanYi Zen Hei"/>
        <family val="2"/>
      </rPr>
      <t xml:space="preserve">円（都度発注）</t>
    </r>
  </si>
  <si>
    <t xml:space="preserve">見積明細</t>
  </si>
  <si>
    <t xml:space="preserve">黄色のセルが編集箇所です。人日単価と各項目の人日を変えると、見積書と注文書まで自動で再計算されます。</t>
  </si>
  <si>
    <t xml:space="preserve">人日単価</t>
  </si>
  <si>
    <t xml:space="preserve">円／人日</t>
  </si>
  <si>
    <t xml:space="preserve">項目</t>
  </si>
  <si>
    <t xml:space="preserve">単価</t>
  </si>
  <si>
    <t xml:space="preserve">金額</t>
  </si>
  <si>
    <r>
      <rPr>
        <b val="true"/>
        <sz val="10"/>
        <color rgb="FF1B3A57"/>
        <rFont val="Meiryo"/>
        <family val="0"/>
        <charset val="1"/>
      </rPr>
      <t xml:space="preserve">1. </t>
    </r>
    <r>
      <rPr>
        <b val="true"/>
        <sz val="10"/>
        <color rgb="FF1B3A57"/>
        <rFont val="WenQuanYi Zen Hei"/>
        <family val="2"/>
      </rPr>
      <t xml:space="preserve">システム開発</t>
    </r>
  </si>
  <si>
    <t xml:space="preserve">システム</t>
  </si>
  <si>
    <t xml:space="preserve">要件定義・基本設計</t>
  </si>
  <si>
    <r>
      <rPr>
        <sz val="9"/>
        <color rgb="FF6C7A87"/>
        <rFont val="WenQuanYi Zen Hei"/>
        <family val="2"/>
      </rPr>
      <t xml:space="preserve">業務フローの確定、データモデル設計、</t>
    </r>
    <r>
      <rPr>
        <sz val="9"/>
        <color rgb="FF6C7A87"/>
        <rFont val="Meiryo"/>
        <family val="0"/>
        <charset val="1"/>
      </rPr>
      <t xml:space="preserve">API</t>
    </r>
    <r>
      <rPr>
        <sz val="9"/>
        <color rgb="FF6C7A87"/>
        <rFont val="WenQuanYi Zen Hei"/>
        <family val="2"/>
      </rPr>
      <t xml:space="preserve">設計、画面設計、利用規約・特定商取引法表記・個人情報の取扱い方針の整備支援</t>
    </r>
  </si>
  <si>
    <r>
      <rPr>
        <b val="true"/>
        <sz val="10"/>
        <color rgb="FF1A2430"/>
        <rFont val="Meiryo"/>
        <family val="0"/>
        <charset val="1"/>
      </rPr>
      <t xml:space="preserve">AWS</t>
    </r>
    <r>
      <rPr>
        <b val="true"/>
        <sz val="10"/>
        <color rgb="FF1A2430"/>
        <rFont val="WenQuanYi Zen Hei"/>
        <family val="2"/>
      </rPr>
      <t xml:space="preserve">本番環境の構築</t>
    </r>
  </si>
  <si>
    <r>
      <rPr>
        <sz val="9"/>
        <color rgb="FF6C7A87"/>
        <rFont val="Meiryo"/>
        <family val="0"/>
        <charset val="1"/>
      </rPr>
      <t xml:space="preserve">VPC</t>
    </r>
    <r>
      <rPr>
        <sz val="9"/>
        <color rgb="FF6C7A87"/>
        <rFont val="WenQuanYi Zen Hei"/>
        <family val="2"/>
      </rPr>
      <t xml:space="preserve">、</t>
    </r>
    <r>
      <rPr>
        <sz val="9"/>
        <color rgb="FF6C7A87"/>
        <rFont val="Meiryo"/>
        <family val="0"/>
        <charset val="1"/>
      </rPr>
      <t xml:space="preserve">EC2</t>
    </r>
    <r>
      <rPr>
        <sz val="9"/>
        <color rgb="FF6C7A87"/>
        <rFont val="WenQuanYi Zen Hei"/>
        <family val="2"/>
      </rPr>
      <t xml:space="preserve">冗長構成、</t>
    </r>
    <r>
      <rPr>
        <sz val="9"/>
        <color rgb="FF6C7A87"/>
        <rFont val="Meiryo"/>
        <family val="0"/>
        <charset val="1"/>
      </rPr>
      <t xml:space="preserve">RDS PostgreSQL</t>
    </r>
    <r>
      <rPr>
        <sz val="9"/>
        <color rgb="FF6C7A87"/>
        <rFont val="WenQuanYi Zen Hei"/>
        <family val="2"/>
      </rPr>
      <t xml:space="preserve">（</t>
    </r>
    <r>
      <rPr>
        <sz val="9"/>
        <color rgb="FF6C7A87"/>
        <rFont val="Meiryo"/>
        <family val="0"/>
        <charset val="1"/>
      </rPr>
      <t xml:space="preserve">Multi-AZ</t>
    </r>
    <r>
      <rPr>
        <sz val="9"/>
        <color rgb="FF6C7A87"/>
        <rFont val="WenQuanYi Zen Hei"/>
        <family val="2"/>
      </rPr>
      <t xml:space="preserve">・自動バックアップ・</t>
    </r>
    <r>
      <rPr>
        <sz val="9"/>
        <color rgb="FF6C7A87"/>
        <rFont val="Meiryo"/>
        <family val="0"/>
        <charset val="1"/>
      </rPr>
      <t xml:space="preserve">PITR</t>
    </r>
    <r>
      <rPr>
        <sz val="9"/>
        <color rgb="FF6C7A87"/>
        <rFont val="WenQuanYi Zen Hei"/>
        <family val="2"/>
      </rPr>
      <t xml:space="preserve">）、</t>
    </r>
    <r>
      <rPr>
        <sz val="9"/>
        <color rgb="FF6C7A87"/>
        <rFont val="Meiryo"/>
        <family val="0"/>
        <charset val="1"/>
      </rPr>
      <t xml:space="preserve">ElastiCache</t>
    </r>
    <r>
      <rPr>
        <sz val="9"/>
        <color rgb="FF6C7A87"/>
        <rFont val="WenQuanYi Zen Hei"/>
        <family val="2"/>
      </rPr>
      <t xml:space="preserve">、</t>
    </r>
    <r>
      <rPr>
        <sz val="9"/>
        <color rgb="FF6C7A87"/>
        <rFont val="Meiryo"/>
        <family val="0"/>
        <charset val="1"/>
      </rPr>
      <t xml:space="preserve">ALB</t>
    </r>
    <r>
      <rPr>
        <sz val="9"/>
        <color rgb="FF6C7A87"/>
        <rFont val="WenQuanYi Zen Hei"/>
        <family val="2"/>
      </rPr>
      <t xml:space="preserve">、</t>
    </r>
    <r>
      <rPr>
        <sz val="9"/>
        <color rgb="FF6C7A87"/>
        <rFont val="Meiryo"/>
        <family val="0"/>
        <charset val="1"/>
      </rPr>
      <t xml:space="preserve">S3</t>
    </r>
    <r>
      <rPr>
        <sz val="9"/>
        <color rgb="FF6C7A87"/>
        <rFont val="WenQuanYi Zen Hei"/>
        <family val="2"/>
      </rPr>
      <t xml:space="preserve">、</t>
    </r>
    <r>
      <rPr>
        <sz val="9"/>
        <color rgb="FF6C7A87"/>
        <rFont val="Meiryo"/>
        <family val="0"/>
        <charset val="1"/>
      </rPr>
      <t xml:space="preserve">CloudFront</t>
    </r>
    <r>
      <rPr>
        <sz val="9"/>
        <color rgb="FF6C7A87"/>
        <rFont val="WenQuanYi Zen Hei"/>
        <family val="2"/>
      </rPr>
      <t xml:space="preserve">、</t>
    </r>
    <r>
      <rPr>
        <sz val="9"/>
        <color rgb="FF6C7A87"/>
        <rFont val="Meiryo"/>
        <family val="0"/>
        <charset val="1"/>
      </rPr>
      <t xml:space="preserve">CloudWatch</t>
    </r>
    <r>
      <rPr>
        <sz val="9"/>
        <color rgb="FF6C7A87"/>
        <rFont val="WenQuanYi Zen Hei"/>
        <family val="2"/>
      </rPr>
      <t xml:space="preserve">、</t>
    </r>
    <r>
      <rPr>
        <sz val="9"/>
        <color rgb="FF6C7A87"/>
        <rFont val="Meiryo"/>
        <family val="0"/>
        <charset val="1"/>
      </rPr>
      <t xml:space="preserve">AWS Backup </t>
    </r>
    <r>
      <rPr>
        <sz val="9"/>
        <color rgb="FF6C7A87"/>
        <rFont val="WenQuanYi Zen Hei"/>
        <family val="2"/>
      </rPr>
      <t xml:space="preserve">の構築と</t>
    </r>
    <r>
      <rPr>
        <sz val="9"/>
        <color rgb="FF6C7A87"/>
        <rFont val="Meiryo"/>
        <family val="0"/>
        <charset val="1"/>
      </rPr>
      <t xml:space="preserve">CI/CD</t>
    </r>
  </si>
  <si>
    <t xml:space="preserve">動画配信基盤</t>
  </si>
  <si>
    <r>
      <rPr>
        <sz val="9"/>
        <color rgb="FF6C7A87"/>
        <rFont val="Meiryo"/>
        <family val="0"/>
        <charset val="1"/>
      </rPr>
      <t xml:space="preserve">HLS</t>
    </r>
    <r>
      <rPr>
        <sz val="9"/>
        <color rgb="FF6C7A87"/>
        <rFont val="WenQuanYi Zen Hei"/>
        <family val="2"/>
      </rPr>
      <t xml:space="preserve">変換（</t>
    </r>
    <r>
      <rPr>
        <sz val="9"/>
        <color rgb="FF6C7A87"/>
        <rFont val="Meiryo"/>
        <family val="0"/>
        <charset val="1"/>
      </rPr>
      <t xml:space="preserve">FFmpeg</t>
    </r>
    <r>
      <rPr>
        <sz val="9"/>
        <color rgb="FF6C7A87"/>
        <rFont val="WenQuanYi Zen Hei"/>
        <family val="2"/>
      </rPr>
      <t xml:space="preserve">）、短寿命の署名付きマニフェスト配信、章単位の受講制御、</t>
    </r>
    <r>
      <rPr>
        <sz val="9"/>
        <color rgb="FF6C7A87"/>
        <rFont val="Meiryo"/>
        <family val="0"/>
        <charset val="1"/>
      </rPr>
      <t xml:space="preserve">MP4</t>
    </r>
    <r>
      <rPr>
        <sz val="9"/>
        <color rgb="FF6C7A87"/>
        <rFont val="WenQuanYi Zen Hei"/>
        <family val="2"/>
      </rPr>
      <t xml:space="preserve">直リンクの排除</t>
    </r>
  </si>
  <si>
    <t xml:space="preserve">視聴整合性・実視聴時間の集計</t>
  </si>
  <si>
    <r>
      <rPr>
        <sz val="9"/>
        <color rgb="FF6C7A87"/>
        <rFont val="Meiryo"/>
        <family val="0"/>
        <charset val="1"/>
      </rPr>
      <t xml:space="preserve">heartbeat</t>
    </r>
    <r>
      <rPr>
        <sz val="9"/>
        <color rgb="FF6C7A87"/>
        <rFont val="WenQuanYi Zen Hei"/>
        <family val="2"/>
      </rPr>
      <t xml:space="preserve">の受信と検証、未視聴位置へのシーク制限、倍速検知、可視状態の判定、サーバー側での検証済み秒数の集計、異常検知</t>
    </r>
  </si>
  <si>
    <t xml:space="preserve">本人確認（登録時）</t>
  </si>
  <si>
    <r>
      <rPr>
        <sz val="9"/>
        <color rgb="FF6C7A87"/>
        <rFont val="WenQuanYi Zen Hei"/>
        <family val="2"/>
      </rPr>
      <t xml:space="preserve">その場撮影</t>
    </r>
    <r>
      <rPr>
        <sz val="9"/>
        <color rgb="FF6C7A87"/>
        <rFont val="Meiryo"/>
        <family val="0"/>
        <charset val="1"/>
      </rPr>
      <t xml:space="preserve">UI</t>
    </r>
    <r>
      <rPr>
        <sz val="9"/>
        <color rgb="FF6C7A87"/>
        <rFont val="WenQuanYi Zen Hei"/>
        <family val="2"/>
      </rPr>
      <t xml:space="preserve">（</t>
    </r>
    <r>
      <rPr>
        <sz val="9"/>
        <color rgb="FF6C7A87"/>
        <rFont val="Meiryo"/>
        <family val="0"/>
        <charset val="1"/>
      </rPr>
      <t xml:space="preserve">getUserMedia</t>
    </r>
    <r>
      <rPr>
        <sz val="9"/>
        <color rgb="FF6C7A87"/>
        <rFont val="WenQuanYi Zen Hei"/>
        <family val="2"/>
      </rPr>
      <t xml:space="preserve">）、ライブネス判定、本人確認書類との突合、運営の審査画面</t>
    </r>
  </si>
  <si>
    <r>
      <rPr>
        <b val="true"/>
        <sz val="10"/>
        <color rgb="FF1A2430"/>
        <rFont val="Meiryo"/>
        <family val="0"/>
        <charset val="1"/>
      </rPr>
      <t xml:space="preserve">PC↔</t>
    </r>
    <r>
      <rPr>
        <b val="true"/>
        <sz val="10"/>
        <color rgb="FF1A2430"/>
        <rFont val="WenQuanYi Zen Hei"/>
        <family val="2"/>
      </rPr>
      <t xml:space="preserve">スマートフォン引き継ぎ</t>
    </r>
  </si>
  <si>
    <r>
      <rPr>
        <sz val="9"/>
        <color rgb="FF6C7A87"/>
        <rFont val="Meiryo"/>
        <family val="0"/>
        <charset val="1"/>
      </rPr>
      <t xml:space="preserve">QR</t>
    </r>
    <r>
      <rPr>
        <sz val="9"/>
        <color rgb="FF6C7A87"/>
        <rFont val="WenQuanYi Zen Hei"/>
        <family val="2"/>
      </rPr>
      <t xml:space="preserve">コードとワンタイム</t>
    </r>
    <r>
      <rPr>
        <sz val="9"/>
        <color rgb="FF6C7A87"/>
        <rFont val="Meiryo"/>
        <family val="0"/>
        <charset val="1"/>
      </rPr>
      <t xml:space="preserve">URL</t>
    </r>
    <r>
      <rPr>
        <sz val="9"/>
        <color rgb="FF6C7A87"/>
        <rFont val="WenQuanYi Zen Hei"/>
        <family val="2"/>
      </rPr>
      <t xml:space="preserve">による撮影工程の引き継ぎ。</t>
    </r>
    <r>
      <rPr>
        <sz val="9"/>
        <color rgb="FF6C7A87"/>
        <rFont val="Meiryo"/>
        <family val="0"/>
        <charset val="1"/>
      </rPr>
      <t xml:space="preserve">PC</t>
    </r>
    <r>
      <rPr>
        <sz val="9"/>
        <color rgb="FF6C7A87"/>
        <rFont val="WenQuanYi Zen Hei"/>
        <family val="2"/>
      </rPr>
      <t xml:space="preserve">で受講される方の離脱を防ぎます</t>
    </r>
  </si>
  <si>
    <t xml:space="preserve">顔照合（受講開始時・受講中）</t>
  </si>
  <si>
    <r>
      <rPr>
        <sz val="9"/>
        <color rgb="FF6C7A87"/>
        <rFont val="Meiryo"/>
        <family val="0"/>
        <charset val="1"/>
      </rPr>
      <t xml:space="preserve">1:1</t>
    </r>
    <r>
      <rPr>
        <sz val="9"/>
        <color rgb="FF6C7A87"/>
        <rFont val="WenQuanYi Zen Hei"/>
        <family val="2"/>
      </rPr>
      <t xml:space="preserve">照合</t>
    </r>
    <r>
      <rPr>
        <sz val="9"/>
        <color rgb="FF6C7A87"/>
        <rFont val="Meiryo"/>
        <family val="0"/>
        <charset val="1"/>
      </rPr>
      <t xml:space="preserve">API</t>
    </r>
    <r>
      <rPr>
        <sz val="9"/>
        <color rgb="FF6C7A87"/>
        <rFont val="WenQuanYi Zen Hei"/>
        <family val="2"/>
      </rPr>
      <t xml:space="preserve">の連携、</t>
    </r>
    <r>
      <rPr>
        <sz val="9"/>
        <color rgb="FF6C7A87"/>
        <rFont val="Meiryo"/>
        <family val="0"/>
        <charset val="1"/>
      </rPr>
      <t xml:space="preserve">3</t>
    </r>
    <r>
      <rPr>
        <sz val="9"/>
        <color rgb="FF6C7A87"/>
        <rFont val="WenQuanYi Zen Hei"/>
        <family val="2"/>
      </rPr>
      <t xml:space="preserve">段階判定（合格／保留／失敗）、ランダム発火スケジューラ、判定ログの保存</t>
    </r>
  </si>
  <si>
    <t xml:space="preserve">確認問題・自動採点</t>
  </si>
  <si>
    <t xml:space="preserve">章末問題、修了確認テスト、出題のランダム化、不合格後の再受講制御</t>
  </si>
  <si>
    <t xml:space="preserve">修了判定・修了証発行</t>
  </si>
  <si>
    <r>
      <rPr>
        <sz val="9"/>
        <color rgb="FF6C7A87"/>
        <rFont val="WenQuanYi Zen Hei"/>
        <family val="2"/>
      </rPr>
      <t xml:space="preserve">サーバー側での修了条件の再検証、修了記録の作成、修了証</t>
    </r>
    <r>
      <rPr>
        <sz val="9"/>
        <color rgb="FF6C7A87"/>
        <rFont val="Meiryo"/>
        <family val="0"/>
        <charset val="1"/>
      </rPr>
      <t xml:space="preserve">PDF</t>
    </r>
    <r>
      <rPr>
        <sz val="9"/>
        <color rgb="FF6C7A87"/>
        <rFont val="WenQuanYi Zen Hei"/>
        <family val="2"/>
      </rPr>
      <t xml:space="preserve">の発行・再発行</t>
    </r>
  </si>
  <si>
    <t xml:space="preserve">受講者ポータル</t>
  </si>
  <si>
    <t xml:space="preserve">申込、マイページ、受講画面、進捗表示、スマートフォン対応</t>
  </si>
  <si>
    <t xml:space="preserve">運営管理画面（基本機能）</t>
  </si>
  <si>
    <t xml:space="preserve">本人確認の承認キュー、顔照合アラートの確認、受講状況の一覧、受講ログの照会</t>
  </si>
  <si>
    <r>
      <rPr>
        <b val="true"/>
        <sz val="10"/>
        <color rgb="FF1A2430"/>
        <rFont val="WenQuanYi Zen Hei"/>
        <family val="2"/>
      </rPr>
      <t xml:space="preserve">結合テスト・</t>
    </r>
    <r>
      <rPr>
        <b val="true"/>
        <sz val="10"/>
        <color rgb="FF1A2430"/>
        <rFont val="Meiryo"/>
        <family val="0"/>
        <charset val="1"/>
      </rPr>
      <t xml:space="preserve">E2E</t>
    </r>
    <r>
      <rPr>
        <b val="true"/>
        <sz val="10"/>
        <color rgb="FF1A2430"/>
        <rFont val="WenQuanYi Zen Hei"/>
        <family val="2"/>
      </rPr>
      <t xml:space="preserve">・受入支援</t>
    </r>
  </si>
  <si>
    <r>
      <rPr>
        <sz val="9"/>
        <color rgb="FF6C7A87"/>
        <rFont val="WenQuanYi Zen Hei"/>
        <family val="2"/>
      </rPr>
      <t xml:space="preserve">必須</t>
    </r>
    <r>
      <rPr>
        <sz val="9"/>
        <color rgb="FF6C7A87"/>
        <rFont val="Meiryo"/>
        <family val="0"/>
        <charset val="1"/>
      </rPr>
      <t xml:space="preserve">E2E</t>
    </r>
    <r>
      <rPr>
        <sz val="9"/>
        <color rgb="FF6C7A87"/>
        <rFont val="WenQuanYi Zen Hei"/>
        <family val="2"/>
      </rPr>
      <t xml:space="preserve">シナリオの実施、受入条件の確認、リリース判定資料の作成</t>
    </r>
  </si>
  <si>
    <t xml:space="preserve">システム開発 小計</t>
  </si>
  <si>
    <r>
      <rPr>
        <b val="true"/>
        <sz val="10"/>
        <color rgb="FF1B3A57"/>
        <rFont val="Meiryo"/>
        <family val="0"/>
        <charset val="1"/>
      </rPr>
      <t xml:space="preserve">2. e</t>
    </r>
    <r>
      <rPr>
        <b val="true"/>
        <sz val="10"/>
        <color rgb="FF1B3A57"/>
        <rFont val="WenQuanYi Zen Hei"/>
        <family val="2"/>
      </rPr>
      <t xml:space="preserve">ラーニング教材の制作</t>
    </r>
  </si>
  <si>
    <t xml:space="preserve">教材</t>
  </si>
  <si>
    <t xml:space="preserve">特別教育 学科教材の制作</t>
  </si>
  <si>
    <r>
      <rPr>
        <sz val="9"/>
        <color rgb="FF6C7A87"/>
        <rFont val="Meiryo"/>
        <family val="0"/>
        <charset val="1"/>
      </rPr>
      <t xml:space="preserve">10</t>
    </r>
    <r>
      <rPr>
        <sz val="9"/>
        <color rgb="FF6C7A87"/>
        <rFont val="WenQuanYi Zen Hei"/>
        <family val="2"/>
      </rPr>
      <t xml:space="preserve">科目・学科</t>
    </r>
    <r>
      <rPr>
        <sz val="9"/>
        <color rgb="FF6C7A87"/>
        <rFont val="Meiryo"/>
        <family val="0"/>
        <charset val="1"/>
      </rPr>
      <t xml:space="preserve">58</t>
    </r>
    <r>
      <rPr>
        <sz val="9"/>
        <color rgb="FF6C7A87"/>
        <rFont val="WenQuanYi Zen Hei"/>
        <family val="2"/>
      </rPr>
      <t xml:space="preserve">時間分。構成台本の書き起こし、スライド、図解、ナレーション、バーチャル講師映像、章末問題・修了確認テストの作成。</t>
    </r>
    <r>
      <rPr>
        <sz val="9"/>
        <color rgb="FF6C7A87"/>
        <rFont val="Meiryo"/>
        <family val="0"/>
        <charset val="1"/>
      </rPr>
      <t xml:space="preserve">3</t>
    </r>
    <r>
      <rPr>
        <sz val="9"/>
        <color rgb="FF6C7A87"/>
        <rFont val="WenQuanYi Zen Hei"/>
        <family val="2"/>
      </rPr>
      <t xml:space="preserve">回に分けて納品</t>
    </r>
  </si>
  <si>
    <t xml:space="preserve">教材制作 小計</t>
  </si>
  <si>
    <t xml:space="preserve">小計（税抜）</t>
  </si>
  <si>
    <t xml:space="preserve">調整額（お値引き等。マイナスで入力）</t>
  </si>
  <si>
    <t xml:space="preserve">総額を調整される場合はここに入力してください</t>
  </si>
  <si>
    <t xml:space="preserve">差引 小計（税抜）</t>
  </si>
  <si>
    <t xml:space="preserve">税率</t>
  </si>
  <si>
    <t xml:space="preserve">合計（税込）</t>
  </si>
  <si>
    <t xml:space="preserve">■ 本見積に含まれないもの（別途）</t>
  </si>
  <si>
    <r>
      <rPr>
        <sz val="9.5"/>
        <color rgb="FF6C7A87"/>
        <rFont val="WenQuanYi Zen Hei"/>
        <family val="2"/>
      </rPr>
      <t xml:space="preserve">・月額の保守・運用サービス、法令改正監視・通知サービス（シート</t>
    </r>
    <r>
      <rPr>
        <sz val="9.5"/>
        <color rgb="FF6C7A87"/>
        <rFont val="Meiryo"/>
        <family val="0"/>
        <charset val="1"/>
      </rPr>
      <t xml:space="preserve">04</t>
    </r>
    <r>
      <rPr>
        <sz val="9.5"/>
        <color rgb="FF6C7A87"/>
        <rFont val="WenQuanYi Zen Hei"/>
        <family val="2"/>
      </rPr>
      <t xml:space="preserve">）</t>
    </r>
  </si>
  <si>
    <r>
      <rPr>
        <sz val="9.5"/>
        <color rgb="FF6C7A87"/>
        <rFont val="WenQuanYi Zen Hei"/>
        <family val="2"/>
      </rPr>
      <t xml:space="preserve">・</t>
    </r>
    <r>
      <rPr>
        <sz val="9.5"/>
        <color rgb="FF6C7A87"/>
        <rFont val="Meiryo"/>
        <family val="0"/>
        <charset val="1"/>
      </rPr>
      <t xml:space="preserve">AWS</t>
    </r>
    <r>
      <rPr>
        <sz val="9.5"/>
        <color rgb="FF6C7A87"/>
        <rFont val="WenQuanYi Zen Hei"/>
        <family val="2"/>
      </rPr>
      <t xml:space="preserve">の利用料（聖建様のご負担。聖建様名義でのご契約を推奨します）</t>
    </r>
  </si>
  <si>
    <r>
      <rPr>
        <sz val="9.5"/>
        <color rgb="FF6C7A87"/>
        <rFont val="WenQuanYi Zen Hei"/>
        <family val="2"/>
      </rPr>
      <t xml:space="preserve">・法令改正にともなう教材の改訂（</t>
    </r>
    <r>
      <rPr>
        <sz val="9.5"/>
        <color rgb="FF6C7A87"/>
        <rFont val="Meiryo"/>
        <family val="0"/>
        <charset val="1"/>
      </rPr>
      <t xml:space="preserve">1</t>
    </r>
    <r>
      <rPr>
        <sz val="9.5"/>
        <color rgb="FF6C7A87"/>
        <rFont val="WenQuanYi Zen Hei"/>
        <family val="2"/>
      </rPr>
      <t xml:space="preserve">科目</t>
    </r>
    <r>
      <rPr>
        <sz val="9.5"/>
        <color rgb="FF6C7A87"/>
        <rFont val="Meiryo"/>
        <family val="0"/>
        <charset val="1"/>
      </rPr>
      <t xml:space="preserve">300,000</t>
    </r>
    <r>
      <rPr>
        <sz val="9.5"/>
        <color rgb="FF6C7A87"/>
        <rFont val="WenQuanYi Zen Hei"/>
        <family val="2"/>
      </rPr>
      <t xml:space="preserve">円・都度発注）</t>
    </r>
  </si>
  <si>
    <r>
      <rPr>
        <b val="true"/>
        <sz val="9.5"/>
        <color rgb="FF1B3A57"/>
        <rFont val="WenQuanYi Zen Hei"/>
        <family val="2"/>
      </rPr>
      <t xml:space="preserve">■ 本見積に含まれない機能（第</t>
    </r>
    <r>
      <rPr>
        <b val="true"/>
        <sz val="9.5"/>
        <color rgb="FF1B3A57"/>
        <rFont val="Meiryo"/>
        <family val="0"/>
        <charset val="1"/>
      </rPr>
      <t xml:space="preserve">2</t>
    </r>
    <r>
      <rPr>
        <b val="true"/>
        <sz val="9.5"/>
        <color rgb="FF1B3A57"/>
        <rFont val="WenQuanYi Zen Hei"/>
        <family val="2"/>
      </rPr>
      <t xml:space="preserve">次発注のご相談）</t>
    </r>
  </si>
  <si>
    <r>
      <rPr>
        <sz val="9.5"/>
        <color rgb="FF6C7A87"/>
        <rFont val="WenQuanYi Zen Hei"/>
        <family val="2"/>
      </rPr>
      <t xml:space="preserve">・企業管理ポータル（従業員の一括申込、進捗確認、修了者一覧の</t>
    </r>
    <r>
      <rPr>
        <sz val="9.5"/>
        <color rgb="FF6C7A87"/>
        <rFont val="Meiryo"/>
        <family val="0"/>
        <charset val="1"/>
      </rPr>
      <t xml:space="preserve">CSV</t>
    </r>
    <r>
      <rPr>
        <sz val="9.5"/>
        <color rgb="FF6C7A87"/>
        <rFont val="WenQuanYi Zen Hei"/>
        <family val="2"/>
      </rPr>
      <t xml:space="preserve">出力）</t>
    </r>
  </si>
  <si>
    <t xml:space="preserve">・オンライン決済（当面は申込フォーム＋銀行振込での運用を想定）</t>
  </si>
  <si>
    <t xml:space="preserve">・運営管理画面の拡張（監査レポート出力、組織管理、売上・入金管理）</t>
  </si>
  <si>
    <t xml:space="preserve">・受講画面からの質疑応答機能（当面はメールで対応）</t>
  </si>
  <si>
    <r>
      <rPr>
        <sz val="9.5"/>
        <color rgb="FF6C7A87"/>
        <rFont val="WenQuanYi Zen Hei"/>
        <family val="2"/>
      </rPr>
      <t xml:space="preserve">・修了証の真正性検証ページ（</t>
    </r>
    <r>
      <rPr>
        <sz val="9.5"/>
        <color rgb="FF6C7A87"/>
        <rFont val="Meiryo"/>
        <family val="0"/>
        <charset val="1"/>
      </rPr>
      <t xml:space="preserve">QR</t>
    </r>
    <r>
      <rPr>
        <sz val="9.5"/>
        <color rgb="FF6C7A87"/>
        <rFont val="WenQuanYi Zen Hei"/>
        <family val="2"/>
      </rPr>
      <t xml:space="preserve">コード）</t>
    </r>
  </si>
  <si>
    <t xml:space="preserve">・教材の版管理の強化と多科目への横展開の自動化</t>
  </si>
  <si>
    <t xml:space="preserve">■ 編集できる箇所（黄色のセル）</t>
  </si>
  <si>
    <r>
      <rPr>
        <sz val="9.5"/>
        <color rgb="FF6C7A87"/>
        <rFont val="WenQuanYi Zen Hei"/>
        <family val="2"/>
      </rPr>
      <t xml:space="preserve">・</t>
    </r>
    <r>
      <rPr>
        <sz val="9.5"/>
        <color rgb="FF6C7A87"/>
        <rFont val="Meiryo"/>
        <family val="0"/>
        <charset val="1"/>
      </rPr>
      <t xml:space="preserve">C4 </t>
    </r>
    <r>
      <rPr>
        <sz val="9.5"/>
        <color rgb="FF6C7A87"/>
        <rFont val="WenQuanYi Zen Hei"/>
        <family val="2"/>
      </rPr>
      <t xml:space="preserve">人日単価　・</t>
    </r>
    <r>
      <rPr>
        <sz val="9.5"/>
        <color rgb="FF6C7A87"/>
        <rFont val="Meiryo"/>
        <family val="0"/>
        <charset val="1"/>
      </rPr>
      <t xml:space="preserve">D</t>
    </r>
    <r>
      <rPr>
        <sz val="9.5"/>
        <color rgb="FF6C7A87"/>
        <rFont val="WenQuanYi Zen Hei"/>
        <family val="2"/>
      </rPr>
      <t xml:space="preserve">列 各項目の人日　・調整額　・消費税率　・シート</t>
    </r>
    <r>
      <rPr>
        <sz val="9.5"/>
        <color rgb="FF6C7A87"/>
        <rFont val="Meiryo"/>
        <family val="0"/>
        <charset val="1"/>
      </rPr>
      <t xml:space="preserve">03</t>
    </r>
    <r>
      <rPr>
        <sz val="9.5"/>
        <color rgb="FF6C7A87"/>
        <rFont val="WenQuanYi Zen Hei"/>
        <family val="2"/>
      </rPr>
      <t xml:space="preserve">の教材単価と納品時期</t>
    </r>
  </si>
  <si>
    <r>
      <rPr>
        <b val="true"/>
        <sz val="15"/>
        <color rgb="FF1B3A57"/>
        <rFont val="Meiryo"/>
        <family val="0"/>
        <charset val="1"/>
      </rPr>
      <t xml:space="preserve">e</t>
    </r>
    <r>
      <rPr>
        <b val="true"/>
        <sz val="15"/>
        <color rgb="FF1B3A57"/>
        <rFont val="WenQuanYi Zen Hei"/>
        <family val="2"/>
      </rPr>
      <t xml:space="preserve">ラーニング教材 制作科目一覧（</t>
    </r>
    <r>
      <rPr>
        <b val="true"/>
        <sz val="15"/>
        <color rgb="FF1B3A57"/>
        <rFont val="Meiryo"/>
        <family val="0"/>
        <charset val="1"/>
      </rPr>
      <t xml:space="preserve">10</t>
    </r>
    <r>
      <rPr>
        <b val="true"/>
        <sz val="15"/>
        <color rgb="FF1B3A57"/>
        <rFont val="WenQuanYi Zen Hei"/>
        <family val="2"/>
      </rPr>
      <t xml:space="preserve">科目）</t>
    </r>
  </si>
  <si>
    <r>
      <rPr>
        <sz val="9"/>
        <color rgb="FF6C7A87"/>
        <rFont val="WenQuanYi Zen Hei"/>
        <family val="2"/>
      </rPr>
      <t xml:space="preserve">出典：建設業向け</t>
    </r>
    <r>
      <rPr>
        <sz val="9"/>
        <color rgb="FF6C7A87"/>
        <rFont val="Meiryo"/>
        <family val="0"/>
        <charset val="1"/>
      </rPr>
      <t xml:space="preserve">e</t>
    </r>
    <r>
      <rPr>
        <sz val="9"/>
        <color rgb="FF6C7A87"/>
        <rFont val="WenQuanYi Zen Hei"/>
        <family val="2"/>
      </rPr>
      <t xml:space="preserve">ラーニング 商品化優先順位。学科のみを対象とし、実技は本見積の範囲外です。</t>
    </r>
  </si>
  <si>
    <r>
      <rPr>
        <b val="true"/>
        <sz val="10"/>
        <color rgb="FF1A2430"/>
        <rFont val="WenQuanYi Zen Hei"/>
        <family val="2"/>
      </rPr>
      <t xml:space="preserve">制作単価（</t>
    </r>
    <r>
      <rPr>
        <b val="true"/>
        <sz val="10"/>
        <color rgb="FF1A2430"/>
        <rFont val="Meiryo"/>
        <family val="0"/>
        <charset val="1"/>
      </rPr>
      <t xml:space="preserve">1</t>
    </r>
    <r>
      <rPr>
        <b val="true"/>
        <sz val="10"/>
        <color rgb="FF1A2430"/>
        <rFont val="WenQuanYi Zen Hei"/>
        <family val="2"/>
      </rPr>
      <t xml:space="preserve">科目あたり）</t>
    </r>
  </si>
  <si>
    <t xml:space="preserve">円／科目</t>
  </si>
  <si>
    <t xml:space="preserve">優先
順位</t>
  </si>
  <si>
    <t xml:space="preserve">特別教育の名称</t>
  </si>
  <si>
    <r>
      <rPr>
        <b val="true"/>
        <sz val="9.5"/>
        <color rgb="FFFFFFFF"/>
        <rFont val="WenQuanYi Zen Hei"/>
        <family val="2"/>
      </rPr>
      <t xml:space="preserve">学科
</t>
    </r>
    <r>
      <rPr>
        <b val="true"/>
        <sz val="9.5"/>
        <color rgb="FFFFFFFF"/>
        <rFont val="Meiryo"/>
        <family val="0"/>
        <charset val="1"/>
      </rPr>
      <t xml:space="preserve">(</t>
    </r>
    <r>
      <rPr>
        <b val="true"/>
        <sz val="9.5"/>
        <color rgb="FFFFFFFF"/>
        <rFont val="WenQuanYi Zen Hei"/>
        <family val="2"/>
      </rPr>
      <t xml:space="preserve">時間</t>
    </r>
    <r>
      <rPr>
        <b val="true"/>
        <sz val="9.5"/>
        <color rgb="FFFFFFFF"/>
        <rFont val="Meiryo"/>
        <family val="0"/>
        <charset val="1"/>
      </rPr>
      <t xml:space="preserve">)</t>
    </r>
  </si>
  <si>
    <t xml:space="preserve">想定ターゲット</t>
  </si>
  <si>
    <t xml:space="preserve">納品
時期</t>
  </si>
  <si>
    <t xml:space="preserve">制作費</t>
  </si>
  <si>
    <t xml:space="preserve">フルハーネス型墜落制止用器具</t>
  </si>
  <si>
    <t xml:space="preserve">建築・鉄骨・足場・設備</t>
  </si>
  <si>
    <t xml:space="preserve">足場の組立て・解体・変更</t>
  </si>
  <si>
    <t xml:space="preserve">鳶・足場・建築・改修</t>
  </si>
  <si>
    <t xml:space="preserve">自由研削用といし</t>
  </si>
  <si>
    <t xml:space="preserve">鉄工・設備・解体・内装</t>
  </si>
  <si>
    <t xml:space="preserve">低圧電気取扱業務</t>
  </si>
  <si>
    <t xml:space="preserve">電気・設備・保守</t>
  </si>
  <si>
    <t xml:space="preserve">アーク溶接等</t>
  </si>
  <si>
    <t xml:space="preserve">鉄骨・配管・設備・橋梁</t>
  </si>
  <si>
    <t xml:space="preserve">石綿使用建築物等の解体・破砕等</t>
  </si>
  <si>
    <t xml:space="preserve">解体・改修・リフォーム</t>
  </si>
  <si>
    <t xml:space="preserve">特定粉じん作業</t>
  </si>
  <si>
    <t xml:space="preserve">解体・はつり・土木</t>
  </si>
  <si>
    <r>
      <rPr>
        <sz val="10"/>
        <color rgb="FF1A2430"/>
        <rFont val="WenQuanYi Zen Hei"/>
        <family val="2"/>
      </rPr>
      <t xml:space="preserve">第</t>
    </r>
    <r>
      <rPr>
        <sz val="10"/>
        <color rgb="FF1A2430"/>
        <rFont val="Meiryo"/>
        <family val="0"/>
        <charset val="1"/>
      </rPr>
      <t xml:space="preserve">2</t>
    </r>
    <r>
      <rPr>
        <sz val="10"/>
        <color rgb="FF1A2430"/>
        <rFont val="WenQuanYi Zen Hei"/>
        <family val="2"/>
      </rPr>
      <t xml:space="preserve">種酸素欠乏危険作業</t>
    </r>
  </si>
  <si>
    <t xml:space="preserve">下水・槽・地下設備</t>
  </si>
  <si>
    <r>
      <rPr>
        <sz val="10"/>
        <color rgb="FF1A2430"/>
        <rFont val="WenQuanYi Zen Hei"/>
        <family val="2"/>
      </rPr>
      <t xml:space="preserve">高所作業車（</t>
    </r>
    <r>
      <rPr>
        <sz val="10"/>
        <color rgb="FF1A2430"/>
        <rFont val="Meiryo"/>
        <family val="0"/>
        <charset val="1"/>
      </rPr>
      <t xml:space="preserve">10m</t>
    </r>
    <r>
      <rPr>
        <sz val="10"/>
        <color rgb="FF1A2430"/>
        <rFont val="WenQuanYi Zen Hei"/>
        <family val="2"/>
      </rPr>
      <t xml:space="preserve">未満）</t>
    </r>
  </si>
  <si>
    <t xml:space="preserve">設備・電気・外装</t>
  </si>
  <si>
    <r>
      <rPr>
        <sz val="10"/>
        <color rgb="FF1A2430"/>
        <rFont val="WenQuanYi Zen Hei"/>
        <family val="2"/>
      </rPr>
      <t xml:space="preserve">玉掛け（</t>
    </r>
    <r>
      <rPr>
        <sz val="10"/>
        <color rgb="FF1A2430"/>
        <rFont val="Meiryo"/>
        <family val="0"/>
        <charset val="1"/>
      </rPr>
      <t xml:space="preserve">1t</t>
    </r>
    <r>
      <rPr>
        <sz val="10"/>
        <color rgb="FF1A2430"/>
        <rFont val="WenQuanYi Zen Hei"/>
        <family val="2"/>
      </rPr>
      <t xml:space="preserve">未満）</t>
    </r>
  </si>
  <si>
    <t xml:space="preserve">鉄骨・設備・土木</t>
  </si>
  <si>
    <r>
      <rPr>
        <b val="true"/>
        <sz val="10"/>
        <color rgb="FF1A2430"/>
        <rFont val="WenQuanYi Zen Hei"/>
        <family val="2"/>
      </rPr>
      <t xml:space="preserve">合計（</t>
    </r>
    <r>
      <rPr>
        <b val="true"/>
        <sz val="10"/>
        <color rgb="FF1A2430"/>
        <rFont val="Meiryo"/>
        <family val="0"/>
        <charset val="1"/>
      </rPr>
      <t xml:space="preserve">10</t>
    </r>
    <r>
      <rPr>
        <b val="true"/>
        <sz val="10"/>
        <color rgb="FF1A2430"/>
        <rFont val="WenQuanYi Zen Hei"/>
        <family val="2"/>
      </rPr>
      <t xml:space="preserve">科目）</t>
    </r>
  </si>
  <si>
    <t xml:space="preserve">■ 納品時期について</t>
  </si>
  <si>
    <r>
      <rPr>
        <sz val="9.5"/>
        <color rgb="FF6C7A87"/>
        <rFont val="WenQuanYi Zen Hei"/>
        <family val="2"/>
      </rPr>
      <t xml:space="preserve">・全</t>
    </r>
    <r>
      <rPr>
        <sz val="9.5"/>
        <color rgb="FF6C7A87"/>
        <rFont val="Meiryo"/>
        <family val="0"/>
        <charset val="1"/>
      </rPr>
      <t xml:space="preserve">10</t>
    </r>
    <r>
      <rPr>
        <sz val="9.5"/>
        <color rgb="FF6C7A87"/>
        <rFont val="WenQuanYi Zen Hei"/>
        <family val="2"/>
      </rPr>
      <t xml:space="preserve">科目を同時には制作できません。</t>
    </r>
    <r>
      <rPr>
        <sz val="9.5"/>
        <color rgb="FF6C7A87"/>
        <rFont val="Meiryo"/>
        <family val="0"/>
        <charset val="1"/>
      </rPr>
      <t xml:space="preserve">3</t>
    </r>
    <r>
      <rPr>
        <sz val="9.5"/>
        <color rgb="FF6C7A87"/>
        <rFont val="WenQuanYi Zen Hei"/>
        <family val="2"/>
      </rPr>
      <t xml:space="preserve">回に分けて納品します（第</t>
    </r>
    <r>
      <rPr>
        <sz val="9.5"/>
        <color rgb="FF6C7A87"/>
        <rFont val="Meiryo"/>
        <family val="0"/>
        <charset val="1"/>
      </rPr>
      <t xml:space="preserve">1</t>
    </r>
    <r>
      <rPr>
        <sz val="9.5"/>
        <color rgb="FF6C7A87"/>
        <rFont val="WenQuanYi Zen Hei"/>
        <family val="2"/>
      </rPr>
      <t xml:space="preserve">次</t>
    </r>
    <r>
      <rPr>
        <sz val="9.5"/>
        <color rgb="FF6C7A87"/>
        <rFont val="Meiryo"/>
        <family val="0"/>
        <charset val="1"/>
      </rPr>
      <t xml:space="preserve">3</t>
    </r>
    <r>
      <rPr>
        <sz val="9.5"/>
        <color rgb="FF6C7A87"/>
        <rFont val="WenQuanYi Zen Hei"/>
        <family val="2"/>
      </rPr>
      <t xml:space="preserve">科目、第</t>
    </r>
    <r>
      <rPr>
        <sz val="9.5"/>
        <color rgb="FF6C7A87"/>
        <rFont val="Meiryo"/>
        <family val="0"/>
        <charset val="1"/>
      </rPr>
      <t xml:space="preserve">2</t>
    </r>
    <r>
      <rPr>
        <sz val="9.5"/>
        <color rgb="FF6C7A87"/>
        <rFont val="WenQuanYi Zen Hei"/>
        <family val="2"/>
      </rPr>
      <t xml:space="preserve">次</t>
    </r>
    <r>
      <rPr>
        <sz val="9.5"/>
        <color rgb="FF6C7A87"/>
        <rFont val="Meiryo"/>
        <family val="0"/>
        <charset val="1"/>
      </rPr>
      <t xml:space="preserve">4</t>
    </r>
    <r>
      <rPr>
        <sz val="9.5"/>
        <color rgb="FF6C7A87"/>
        <rFont val="WenQuanYi Zen Hei"/>
        <family val="2"/>
      </rPr>
      <t xml:space="preserve">科目、第</t>
    </r>
    <r>
      <rPr>
        <sz val="9.5"/>
        <color rgb="FF6C7A87"/>
        <rFont val="Meiryo"/>
        <family val="0"/>
        <charset val="1"/>
      </rPr>
      <t xml:space="preserve">3</t>
    </r>
    <r>
      <rPr>
        <sz val="9.5"/>
        <color rgb="FF6C7A87"/>
        <rFont val="WenQuanYi Zen Hei"/>
        <family val="2"/>
      </rPr>
      <t xml:space="preserve">次</t>
    </r>
    <r>
      <rPr>
        <sz val="9.5"/>
        <color rgb="FF6C7A87"/>
        <rFont val="Meiryo"/>
        <family val="0"/>
        <charset val="1"/>
      </rPr>
      <t xml:space="preserve">3</t>
    </r>
    <r>
      <rPr>
        <sz val="9.5"/>
        <color rgb="FF6C7A87"/>
        <rFont val="WenQuanYi Zen Hei"/>
        <family val="2"/>
      </rPr>
      <t xml:space="preserve">科目）。</t>
    </r>
  </si>
  <si>
    <r>
      <rPr>
        <sz val="9.5"/>
        <color rgb="FF6C7A87"/>
        <rFont val="WenQuanYi Zen Hei"/>
        <family val="2"/>
      </rPr>
      <t xml:space="preserve">・第</t>
    </r>
    <r>
      <rPr>
        <sz val="9.5"/>
        <color rgb="FF6C7A87"/>
        <rFont val="Meiryo"/>
        <family val="0"/>
        <charset val="1"/>
      </rPr>
      <t xml:space="preserve">1</t>
    </r>
    <r>
      <rPr>
        <sz val="9.5"/>
        <color rgb="FF6C7A87"/>
        <rFont val="WenQuanYi Zen Hei"/>
        <family val="2"/>
      </rPr>
      <t xml:space="preserve">次は実技のない科目（足場・石綿）と既存資産のあるアーク溶接を優先し、最短で販売を開始できるようにします。</t>
    </r>
  </si>
  <si>
    <r>
      <rPr>
        <sz val="9.5"/>
        <color rgb="FF6C7A87"/>
        <rFont val="WenQuanYi Zen Hei"/>
        <family val="2"/>
      </rPr>
      <t xml:space="preserve">・</t>
    </r>
    <r>
      <rPr>
        <sz val="9.5"/>
        <color rgb="FF6C7A87"/>
        <rFont val="Meiryo"/>
        <family val="0"/>
        <charset val="1"/>
      </rPr>
      <t xml:space="preserve">E</t>
    </r>
    <r>
      <rPr>
        <sz val="9.5"/>
        <color rgb="FF6C7A87"/>
        <rFont val="WenQuanYi Zen Hei"/>
        <family val="2"/>
      </rPr>
      <t xml:space="preserve">列で納品時期を変更できます。</t>
    </r>
  </si>
  <si>
    <t xml:space="preserve">■ 法令改正時の改訂</t>
  </si>
  <si>
    <r>
      <rPr>
        <sz val="9.5"/>
        <color rgb="FF6C7A87"/>
        <rFont val="WenQuanYi Zen Hei"/>
        <family val="2"/>
      </rPr>
      <t xml:space="preserve">・改正により教材の作り直しが必要になった場合は、</t>
    </r>
    <r>
      <rPr>
        <sz val="9.5"/>
        <color rgb="FF6C7A87"/>
        <rFont val="Meiryo"/>
        <family val="0"/>
        <charset val="1"/>
      </rPr>
      <t xml:space="preserve">1</t>
    </r>
    <r>
      <rPr>
        <sz val="9.5"/>
        <color rgb="FF6C7A87"/>
        <rFont val="WenQuanYi Zen Hei"/>
        <family val="2"/>
      </rPr>
      <t xml:space="preserve">科目あたり</t>
    </r>
    <r>
      <rPr>
        <sz val="9.5"/>
        <color rgb="FF6C7A87"/>
        <rFont val="Meiryo"/>
        <family val="0"/>
        <charset val="1"/>
      </rPr>
      <t xml:space="preserve">300,000</t>
    </r>
    <r>
      <rPr>
        <sz val="9.5"/>
        <color rgb="FF6C7A87"/>
        <rFont val="WenQuanYi Zen Hei"/>
        <family val="2"/>
      </rPr>
      <t xml:space="preserve">円（新規制作と同額）で改訂します。</t>
    </r>
  </si>
  <si>
    <r>
      <rPr>
        <sz val="9.5"/>
        <color rgb="FF6C7A87"/>
        <rFont val="WenQuanYi Zen Hei"/>
        <family val="2"/>
      </rPr>
      <t xml:space="preserve">・改正の検知と通知は、月額の「法令改正監視・通知サービス」で行います（シート</t>
    </r>
    <r>
      <rPr>
        <sz val="9.5"/>
        <color rgb="FF6C7A87"/>
        <rFont val="Meiryo"/>
        <family val="0"/>
        <charset val="1"/>
      </rPr>
      <t xml:space="preserve">04</t>
    </r>
    <r>
      <rPr>
        <sz val="9.5"/>
        <color rgb="FF6C7A87"/>
        <rFont val="WenQuanYi Zen Hei"/>
        <family val="2"/>
      </rPr>
      <t xml:space="preserve">）。</t>
    </r>
  </si>
  <si>
    <t xml:space="preserve">・改正が教材のどこに影響するかの判断は、聖建様の監修者にお願いします。</t>
  </si>
  <si>
    <t xml:space="preserve">月額費用と別途費用</t>
  </si>
  <si>
    <r>
      <rPr>
        <sz val="9"/>
        <color rgb="FF6C7A87"/>
        <rFont val="WenQuanYi Zen Hei"/>
        <family val="2"/>
      </rPr>
      <t xml:space="preserve">初期費用（シート</t>
    </r>
    <r>
      <rPr>
        <sz val="9"/>
        <color rgb="FF6C7A87"/>
        <rFont val="Meiryo"/>
        <family val="0"/>
        <charset val="1"/>
      </rPr>
      <t xml:space="preserve">01</t>
    </r>
    <r>
      <rPr>
        <sz val="9"/>
        <color rgb="FF6C7A87"/>
        <rFont val="WenQuanYi Zen Hei"/>
        <family val="2"/>
      </rPr>
      <t xml:space="preserve">）とは別に、下記が発生します。</t>
    </r>
  </si>
  <si>
    <t xml:space="preserve">月額／単価</t>
  </si>
  <si>
    <t xml:space="preserve">弊社へ
お支払い</t>
  </si>
  <si>
    <t xml:space="preserve">保守・運用サービス</t>
  </si>
  <si>
    <t xml:space="preserve">システムの死活監視とエラー監視、障害対応、軽微な改修、受講者からの問い合わせ一次対応、月次レポートの提出</t>
  </si>
  <si>
    <t xml:space="preserve">法令改正監視・通知サービス</t>
  </si>
  <si>
    <r>
      <rPr>
        <sz val="9.5"/>
        <color rgb="FF1A2430"/>
        <rFont val="WenQuanYi Zen Hei"/>
        <family val="2"/>
      </rPr>
      <t xml:space="preserve">月</t>
    </r>
    <r>
      <rPr>
        <sz val="9.5"/>
        <color rgb="FF1A2430"/>
        <rFont val="Meiryo"/>
        <family val="0"/>
        <charset val="1"/>
      </rPr>
      <t xml:space="preserve">2</t>
    </r>
    <r>
      <rPr>
        <sz val="9.5"/>
        <color rgb="FF1A2430"/>
        <rFont val="WenQuanYi Zen Hei"/>
        <family val="2"/>
      </rPr>
      <t xml:space="preserve">回（月初・月中）、官報・厚生労働省の通達・パブリックコメントを確認。対象</t>
    </r>
    <r>
      <rPr>
        <sz val="9.5"/>
        <color rgb="FF1A2430"/>
        <rFont val="Meiryo"/>
        <family val="0"/>
        <charset val="1"/>
      </rPr>
      <t xml:space="preserve">10</t>
    </r>
    <r>
      <rPr>
        <sz val="9.5"/>
        <color rgb="FF1A2430"/>
        <rFont val="WenQuanYi Zen Hei"/>
        <family val="2"/>
      </rPr>
      <t xml:space="preserve">科目に影響しうる改正を検知したら、聖建様と弊社の双方へ自動でメール通知。月次で「該当なし」も含めて報告</t>
    </r>
  </si>
  <si>
    <t xml:space="preserve">月額 小計（税抜）</t>
  </si>
  <si>
    <t xml:space="preserve">お客様
ご負担</t>
  </si>
  <si>
    <r>
      <rPr>
        <b val="true"/>
        <sz val="10"/>
        <color rgb="FF1A2430"/>
        <rFont val="Meiryo"/>
        <family val="0"/>
        <charset val="1"/>
      </rPr>
      <t xml:space="preserve">AWS </t>
    </r>
    <r>
      <rPr>
        <b val="true"/>
        <sz val="10"/>
        <color rgb="FF1A2430"/>
        <rFont val="WenQuanYi Zen Hei"/>
        <family val="2"/>
      </rPr>
      <t xml:space="preserve">利用料（構成</t>
    </r>
    <r>
      <rPr>
        <b val="true"/>
        <sz val="10"/>
        <color rgb="FF1A2430"/>
        <rFont val="Meiryo"/>
        <family val="0"/>
        <charset val="1"/>
      </rPr>
      <t xml:space="preserve">B</t>
    </r>
    <r>
      <rPr>
        <b val="true"/>
        <sz val="10"/>
        <color rgb="FF1A2430"/>
        <rFont val="WenQuanYi Zen Hei"/>
        <family val="2"/>
      </rPr>
      <t xml:space="preserve">・推奨）</t>
    </r>
  </si>
  <si>
    <r>
      <rPr>
        <sz val="9.5"/>
        <color rgb="FF1A2430"/>
        <rFont val="Meiryo"/>
        <family val="0"/>
        <charset val="1"/>
      </rPr>
      <t xml:space="preserve">EC2</t>
    </r>
    <r>
      <rPr>
        <sz val="9.5"/>
        <color rgb="FF1A2430"/>
        <rFont val="WenQuanYi Zen Hei"/>
        <family val="2"/>
      </rPr>
      <t xml:space="preserve">、</t>
    </r>
    <r>
      <rPr>
        <sz val="9.5"/>
        <color rgb="FF1A2430"/>
        <rFont val="Meiryo"/>
        <family val="0"/>
        <charset val="1"/>
      </rPr>
      <t xml:space="preserve">RDS PostgreSQL</t>
    </r>
    <r>
      <rPr>
        <sz val="9.5"/>
        <color rgb="FF1A2430"/>
        <rFont val="WenQuanYi Zen Hei"/>
        <family val="2"/>
      </rPr>
      <t xml:space="preserve">（</t>
    </r>
    <r>
      <rPr>
        <sz val="9.5"/>
        <color rgb="FF1A2430"/>
        <rFont val="Meiryo"/>
        <family val="0"/>
        <charset val="1"/>
      </rPr>
      <t xml:space="preserve">Multi-AZ</t>
    </r>
    <r>
      <rPr>
        <sz val="9.5"/>
        <color rgb="FF1A2430"/>
        <rFont val="WenQuanYi Zen Hei"/>
        <family val="2"/>
      </rPr>
      <t xml:space="preserve">・自動バックアップ・</t>
    </r>
    <r>
      <rPr>
        <sz val="9.5"/>
        <color rgb="FF1A2430"/>
        <rFont val="Meiryo"/>
        <family val="0"/>
        <charset val="1"/>
      </rPr>
      <t xml:space="preserve">PITR</t>
    </r>
    <r>
      <rPr>
        <sz val="9.5"/>
        <color rgb="FF1A2430"/>
        <rFont val="WenQuanYi Zen Hei"/>
        <family val="2"/>
      </rPr>
      <t xml:space="preserve">）、</t>
    </r>
    <r>
      <rPr>
        <sz val="9.5"/>
        <color rgb="FF1A2430"/>
        <rFont val="Meiryo"/>
        <family val="0"/>
        <charset val="1"/>
      </rPr>
      <t xml:space="preserve">ElastiCache</t>
    </r>
    <r>
      <rPr>
        <sz val="9.5"/>
        <color rgb="FF1A2430"/>
        <rFont val="WenQuanYi Zen Hei"/>
        <family val="2"/>
      </rPr>
      <t xml:space="preserve">、</t>
    </r>
    <r>
      <rPr>
        <sz val="9.5"/>
        <color rgb="FF1A2430"/>
        <rFont val="Meiryo"/>
        <family val="0"/>
        <charset val="1"/>
      </rPr>
      <t xml:space="preserve">ALB</t>
    </r>
    <r>
      <rPr>
        <sz val="9.5"/>
        <color rgb="FF1A2430"/>
        <rFont val="WenQuanYi Zen Hei"/>
        <family val="2"/>
      </rPr>
      <t xml:space="preserve">、</t>
    </r>
    <r>
      <rPr>
        <sz val="9.5"/>
        <color rgb="FF1A2430"/>
        <rFont val="Meiryo"/>
        <family val="0"/>
        <charset val="1"/>
      </rPr>
      <t xml:space="preserve">S3</t>
    </r>
    <r>
      <rPr>
        <sz val="9.5"/>
        <color rgb="FF1A2430"/>
        <rFont val="WenQuanYi Zen Hei"/>
        <family val="2"/>
      </rPr>
      <t xml:space="preserve">、</t>
    </r>
    <r>
      <rPr>
        <sz val="9.5"/>
        <color rgb="FF1A2430"/>
        <rFont val="Meiryo"/>
        <family val="0"/>
        <charset val="1"/>
      </rPr>
      <t xml:space="preserve">CloudFront</t>
    </r>
    <r>
      <rPr>
        <sz val="9.5"/>
        <color rgb="FF1A2430"/>
        <rFont val="WenQuanYi Zen Hei"/>
        <family val="2"/>
      </rPr>
      <t xml:space="preserve">、</t>
    </r>
    <r>
      <rPr>
        <sz val="9.5"/>
        <color rgb="FF1A2430"/>
        <rFont val="Meiryo"/>
        <family val="0"/>
        <charset val="1"/>
      </rPr>
      <t xml:space="preserve">CloudWatch</t>
    </r>
    <r>
      <rPr>
        <sz val="9.5"/>
        <color rgb="FF1A2430"/>
        <rFont val="WenQuanYi Zen Hei"/>
        <family val="2"/>
      </rPr>
      <t xml:space="preserve">。</t>
    </r>
    <r>
      <rPr>
        <sz val="9.5"/>
        <color rgb="FF1A2430"/>
        <rFont val="Meiryo"/>
        <family val="0"/>
        <charset val="1"/>
      </rPr>
      <t xml:space="preserve">NAT Gateway</t>
    </r>
    <r>
      <rPr>
        <sz val="9.5"/>
        <color rgb="FF1A2430"/>
        <rFont val="WenQuanYi Zen Hei"/>
        <family val="2"/>
      </rPr>
      <t xml:space="preserve">は</t>
    </r>
    <r>
      <rPr>
        <sz val="9.5"/>
        <color rgb="FF1A2430"/>
        <rFont val="Meiryo"/>
        <family val="0"/>
        <charset val="1"/>
      </rPr>
      <t xml:space="preserve">VPC</t>
    </r>
    <r>
      <rPr>
        <sz val="9.5"/>
        <color rgb="FF1A2430"/>
        <rFont val="WenQuanYi Zen Hei"/>
        <family val="2"/>
      </rPr>
      <t xml:space="preserve">エンドポイントの活用により不要としています。フル冗長構成（</t>
    </r>
    <r>
      <rPr>
        <sz val="9.5"/>
        <color rgb="FF1A2430"/>
        <rFont val="Meiryo"/>
        <family val="0"/>
        <charset val="1"/>
      </rPr>
      <t xml:space="preserve">36,000</t>
    </r>
    <r>
      <rPr>
        <sz val="9.5"/>
        <color rgb="FF1A2430"/>
        <rFont val="WenQuanYi Zen Hei"/>
        <family val="2"/>
      </rPr>
      <t xml:space="preserve">円）への変更も可能です</t>
    </r>
  </si>
  <si>
    <t xml:space="preserve">従量課金（顔照合・配信ほか）</t>
  </si>
  <si>
    <t xml:space="preserve">実費</t>
  </si>
  <si>
    <r>
      <rPr>
        <sz val="9.5"/>
        <color rgb="FF1A2430"/>
        <rFont val="WenQuanYi Zen Hei"/>
        <family val="2"/>
      </rPr>
      <t xml:space="preserve">顔照合</t>
    </r>
    <r>
      <rPr>
        <sz val="9.5"/>
        <color rgb="FF1A2430"/>
        <rFont val="Meiryo"/>
        <family val="0"/>
        <charset val="1"/>
      </rPr>
      <t xml:space="preserve">API</t>
    </r>
    <r>
      <rPr>
        <sz val="9.5"/>
        <color rgb="FF1A2430"/>
        <rFont val="WenQuanYi Zen Hei"/>
        <family val="2"/>
      </rPr>
      <t xml:space="preserve">、ライブネス判定、</t>
    </r>
    <r>
      <rPr>
        <sz val="9.5"/>
        <color rgb="FF1A2430"/>
        <rFont val="Meiryo"/>
        <family val="0"/>
        <charset val="1"/>
      </rPr>
      <t xml:space="preserve">CDN</t>
    </r>
    <r>
      <rPr>
        <sz val="9.5"/>
        <color rgb="FF1A2430"/>
        <rFont val="WenQuanYi Zen Hei"/>
        <family val="2"/>
      </rPr>
      <t xml:space="preserve">転送、メール送信。受講者</t>
    </r>
    <r>
      <rPr>
        <sz val="9.5"/>
        <color rgb="FF1A2430"/>
        <rFont val="Meiryo"/>
        <family val="0"/>
        <charset val="1"/>
      </rPr>
      <t xml:space="preserve">100</t>
    </r>
    <r>
      <rPr>
        <sz val="9.5"/>
        <color rgb="FF1A2430"/>
        <rFont val="WenQuanYi Zen Hei"/>
        <family val="2"/>
      </rPr>
      <t xml:space="preserve">名／月で約</t>
    </r>
    <r>
      <rPr>
        <sz val="9.5"/>
        <color rgb="FF1A2430"/>
        <rFont val="Meiryo"/>
        <family val="0"/>
        <charset val="1"/>
      </rPr>
      <t xml:space="preserve">830</t>
    </r>
    <r>
      <rPr>
        <sz val="9.5"/>
        <color rgb="FF1A2430"/>
        <rFont val="WenQuanYi Zen Hei"/>
        <family val="2"/>
      </rPr>
      <t xml:space="preserve">円、</t>
    </r>
    <r>
      <rPr>
        <sz val="9.5"/>
        <color rgb="FF1A2430"/>
        <rFont val="Meiryo"/>
        <family val="0"/>
        <charset val="1"/>
      </rPr>
      <t xml:space="preserve">300</t>
    </r>
    <r>
      <rPr>
        <sz val="9.5"/>
        <color rgb="FF1A2430"/>
        <rFont val="WenQuanYi Zen Hei"/>
        <family val="2"/>
      </rPr>
      <t xml:space="preserve">名／月で約</t>
    </r>
    <r>
      <rPr>
        <sz val="9.5"/>
        <color rgb="FF1A2430"/>
        <rFont val="Meiryo"/>
        <family val="0"/>
        <charset val="1"/>
      </rPr>
      <t xml:space="preserve">2,550</t>
    </r>
    <r>
      <rPr>
        <sz val="9.5"/>
        <color rgb="FF1A2430"/>
        <rFont val="WenQuanYi Zen Hei"/>
        <family val="2"/>
      </rPr>
      <t xml:space="preserve">円（</t>
    </r>
    <r>
      <rPr>
        <sz val="9.5"/>
        <color rgb="FF1A2430"/>
        <rFont val="Meiryo"/>
        <family val="0"/>
        <charset val="1"/>
      </rPr>
      <t xml:space="preserve">AWS</t>
    </r>
    <r>
      <rPr>
        <sz val="9.5"/>
        <color rgb="FF1A2430"/>
        <rFont val="WenQuanYi Zen Hei"/>
        <family val="2"/>
      </rPr>
      <t xml:space="preserve">利用料に含まれます）</t>
    </r>
  </si>
  <si>
    <t xml:space="preserve">決済手数料</t>
  </si>
  <si>
    <r>
      <rPr>
        <b val="true"/>
        <sz val="10"/>
        <color rgb="FF6C7A87"/>
        <rFont val="WenQuanYi Zen Hei"/>
        <family val="2"/>
      </rPr>
      <t xml:space="preserve">売上の</t>
    </r>
    <r>
      <rPr>
        <b val="true"/>
        <sz val="10"/>
        <color rgb="FF6C7A87"/>
        <rFont val="Meiryo"/>
        <family val="0"/>
        <charset val="1"/>
      </rPr>
      <t xml:space="preserve">3.6%</t>
    </r>
  </si>
  <si>
    <r>
      <rPr>
        <sz val="9.5"/>
        <color rgb="FF1A2430"/>
        <rFont val="WenQuanYi Zen Hei"/>
        <family val="2"/>
      </rPr>
      <t xml:space="preserve">オンライン決済を導入された場合。第</t>
    </r>
    <r>
      <rPr>
        <sz val="9.5"/>
        <color rgb="FF1A2430"/>
        <rFont val="Meiryo"/>
        <family val="0"/>
        <charset val="1"/>
      </rPr>
      <t xml:space="preserve">2</t>
    </r>
    <r>
      <rPr>
        <sz val="9.5"/>
        <color rgb="FF1A2430"/>
        <rFont val="WenQuanYi Zen Hei"/>
        <family val="2"/>
      </rPr>
      <t xml:space="preserve">次発注の対象です</t>
    </r>
  </si>
  <si>
    <t xml:space="preserve">都度
発注</t>
  </si>
  <si>
    <t xml:space="preserve">教材の改訂（法令改正対応）</t>
  </si>
  <si>
    <r>
      <rPr>
        <sz val="9.5"/>
        <color rgb="FF1A2430"/>
        <rFont val="Meiryo"/>
        <family val="0"/>
        <charset val="1"/>
      </rPr>
      <t xml:space="preserve">1</t>
    </r>
    <r>
      <rPr>
        <sz val="9.5"/>
        <color rgb="FF1A2430"/>
        <rFont val="WenQuanYi Zen Hei"/>
        <family val="2"/>
      </rPr>
      <t xml:space="preserve">科目あたり。新規制作と同額です。台本の修正、該当部分の動画の再生成と差し替え、教材の版の更新を含みます</t>
    </r>
  </si>
  <si>
    <t xml:space="preserve">参考：月額の合計（聖建様のご負担総額）</t>
  </si>
  <si>
    <r>
      <rPr>
        <b val="true"/>
        <sz val="10"/>
        <color rgb="FF1A2430"/>
        <rFont val="WenQuanYi Zen Hei"/>
        <family val="2"/>
      </rPr>
      <t xml:space="preserve">弊社サービス ＋ </t>
    </r>
    <r>
      <rPr>
        <b val="true"/>
        <sz val="10"/>
        <color rgb="FF1A2430"/>
        <rFont val="Meiryo"/>
        <family val="0"/>
        <charset val="1"/>
      </rPr>
      <t xml:space="preserve">AWS </t>
    </r>
    <r>
      <rPr>
        <b val="true"/>
        <sz val="10"/>
        <color rgb="FF1A2430"/>
        <rFont val="WenQuanYi Zen Hei"/>
        <family val="2"/>
      </rPr>
      <t xml:space="preserve">利用料</t>
    </r>
  </si>
  <si>
    <t xml:space="preserve">税抜。受講者数により従量分が変動します</t>
  </si>
  <si>
    <t xml:space="preserve">■ 法令改正の自動通知について</t>
  </si>
  <si>
    <t xml:space="preserve">・監視の仕組みは弊社が共通サービスとして保有し、聖建様専用に開発するものではありません。</t>
  </si>
  <si>
    <t xml:space="preserve">　そのため初期費用は発生せず、月額サービスとしてご提供します。</t>
  </si>
  <si>
    <t xml:space="preserve">・検知した場合、聖建様のご担当者と弊社の双方へ同時に自動メールが送信されます。</t>
  </si>
  <si>
    <r>
      <rPr>
        <sz val="9.5"/>
        <color rgb="FF6C7A87"/>
        <rFont val="WenQuanYi Zen Hei"/>
        <family val="2"/>
      </rPr>
      <t xml:space="preserve">・通知には、改正の名称、公布・施行日、該当しうる科目、参照</t>
    </r>
    <r>
      <rPr>
        <sz val="9.5"/>
        <color rgb="FF6C7A87"/>
        <rFont val="Meiryo"/>
        <family val="0"/>
        <charset val="1"/>
      </rPr>
      <t xml:space="preserve">URL</t>
    </r>
    <r>
      <rPr>
        <sz val="9.5"/>
        <color rgb="FF6C7A87"/>
        <rFont val="WenQuanYi Zen Hei"/>
        <family val="2"/>
      </rPr>
      <t xml:space="preserve">を記載します。</t>
    </r>
  </si>
  <si>
    <t xml:space="preserve">■ 責任の分担</t>
  </si>
  <si>
    <t xml:space="preserve">・官報・通達の機械的な監視と通知　　　　　→　弊社</t>
  </si>
  <si>
    <t xml:space="preserve">・その改正が教材のどこに影響するかの判断　→　聖建様の監修者</t>
  </si>
  <si>
    <t xml:space="preserve">・改訂作業の実施　　　　　　　　　　　　　→　弊社（都度発注）</t>
  </si>
  <si>
    <t xml:space="preserve">・改訂後の内容の承認　　　　　　　　　　　→　聖建様の監修者</t>
  </si>
  <si>
    <t xml:space="preserve">　弊社が法令を解釈して改訂の要否を判断することはできません。監修者の役割です。</t>
  </si>
  <si>
    <r>
      <rPr>
        <b val="true"/>
        <sz val="9.5"/>
        <color rgb="FF1B3A57"/>
        <rFont val="Meiryo"/>
        <family val="0"/>
        <charset val="1"/>
      </rPr>
      <t xml:space="preserve">■ AWS</t>
    </r>
    <r>
      <rPr>
        <b val="true"/>
        <sz val="9.5"/>
        <color rgb="FF1B3A57"/>
        <rFont val="WenQuanYi Zen Hei"/>
        <family val="2"/>
      </rPr>
      <t xml:space="preserve">をお客様のご負担とする理由</t>
    </r>
  </si>
  <si>
    <t xml:space="preserve">・受講者が増えると転送量・顔照合の回数が増えます。定額に含めると、事業が成功するほど</t>
  </si>
  <si>
    <t xml:space="preserve">　弊社が損をする構造になり、いずれ値上げのお願いが必要になります。</t>
  </si>
  <si>
    <t xml:space="preserve">・聖建様名義でご契約いただければ、費用が明細で見え、原価管理ができます。</t>
  </si>
  <si>
    <t xml:space="preserve">・万一お取引が終了しても、システムは聖建様の資産としてそのまま継続できます。</t>
  </si>
  <si>
    <r>
      <rPr>
        <sz val="9.5"/>
        <color rgb="FF6C7A87"/>
        <rFont val="WenQuanYi Zen Hei"/>
        <family val="2"/>
      </rPr>
      <t xml:space="preserve">・アカウント管理が難しい場合は、弊社が代行契約し、実費＋事務手数料</t>
    </r>
    <r>
      <rPr>
        <sz val="9.5"/>
        <color rgb="FF6C7A87"/>
        <rFont val="Meiryo"/>
        <family val="0"/>
        <charset val="1"/>
      </rPr>
      <t xml:space="preserve">10%</t>
    </r>
    <r>
      <rPr>
        <sz val="9.5"/>
        <color rgb="FF6C7A87"/>
        <rFont val="WenQuanYi Zen Hei"/>
        <family val="2"/>
      </rPr>
      <t xml:space="preserve">でご請求する形も可能です。</t>
    </r>
  </si>
  <si>
    <t xml:space="preserve">注　文　書</t>
  </si>
  <si>
    <t xml:space="preserve">注文番号</t>
  </si>
  <si>
    <t xml:space="preserve">　　年　　月　　日</t>
  </si>
  <si>
    <t xml:space="preserve">株式会社スペリオル　御中</t>
  </si>
  <si>
    <t xml:space="preserve">発注者</t>
  </si>
  <si>
    <t xml:space="preserve">担当　藤原 様</t>
  </si>
  <si>
    <t xml:space="preserve">株式会社聖建</t>
  </si>
  <si>
    <r>
      <rPr>
        <sz val="8.5"/>
        <color rgb="FF6C7A87"/>
        <rFont val="WenQuanYi Zen Hei"/>
        <family val="2"/>
      </rPr>
      <t xml:space="preserve">〒</t>
    </r>
    <r>
      <rPr>
        <sz val="8.5"/>
        <color rgb="FF6C7A87"/>
        <rFont val="Meiryo"/>
        <family val="0"/>
        <charset val="1"/>
      </rPr>
      <t xml:space="preserve">475-0805</t>
    </r>
    <r>
      <rPr>
        <sz val="8.5"/>
        <color rgb="FF6C7A87"/>
        <rFont val="WenQuanYi Zen Hei"/>
        <family val="2"/>
      </rPr>
      <t xml:space="preserve">　愛知県半田市浜田町</t>
    </r>
    <r>
      <rPr>
        <sz val="8.5"/>
        <color rgb="FF6C7A87"/>
        <rFont val="Meiryo"/>
        <family val="0"/>
        <charset val="1"/>
      </rPr>
      <t xml:space="preserve">1</t>
    </r>
    <r>
      <rPr>
        <sz val="8.5"/>
        <color rgb="FF6C7A87"/>
        <rFont val="WenQuanYi Zen Hei"/>
        <family val="2"/>
      </rPr>
      <t xml:space="preserve">丁目</t>
    </r>
    <r>
      <rPr>
        <sz val="8.5"/>
        <color rgb="FF6C7A87"/>
        <rFont val="Meiryo"/>
        <family val="0"/>
        <charset val="1"/>
      </rPr>
      <t xml:space="preserve">7</t>
    </r>
    <r>
      <rPr>
        <sz val="8.5"/>
        <color rgb="FF6C7A87"/>
        <rFont val="WenQuanYi Zen Hei"/>
        <family val="2"/>
      </rPr>
      <t xml:space="preserve">番地</t>
    </r>
  </si>
  <si>
    <t xml:space="preserve">TEL 0569-84-9669</t>
  </si>
  <si>
    <t xml:space="preserve">ご担当　　　　　　　　　　　　　印</t>
  </si>
  <si>
    <t xml:space="preserve">下記のとおり注文いたします。</t>
  </si>
  <si>
    <t xml:space="preserve">根拠見積</t>
  </si>
  <si>
    <t xml:space="preserve">配信基盤・視聴整合性・本人確認・修了判定・受講者ポータル</t>
  </si>
  <si>
    <r>
      <rPr>
        <sz val="9.5"/>
        <color rgb="FF1A2430"/>
        <rFont val="WenQuanYi Zen Hei"/>
        <family val="2"/>
      </rPr>
      <t xml:space="preserve">特別教育 学科教材 </t>
    </r>
    <r>
      <rPr>
        <sz val="9.5"/>
        <color rgb="FF1A2430"/>
        <rFont val="Meiryo"/>
        <family val="0"/>
        <charset val="1"/>
      </rPr>
      <t xml:space="preserve">10</t>
    </r>
    <r>
      <rPr>
        <sz val="9.5"/>
        <color rgb="FF1A2430"/>
        <rFont val="WenQuanYi Zen Hei"/>
        <family val="2"/>
      </rPr>
      <t xml:space="preserve">科目（</t>
    </r>
    <r>
      <rPr>
        <sz val="9.5"/>
        <color rgb="FF1A2430"/>
        <rFont val="Meiryo"/>
        <family val="0"/>
        <charset val="1"/>
      </rPr>
      <t xml:space="preserve">3</t>
    </r>
    <r>
      <rPr>
        <sz val="9.5"/>
        <color rgb="FF1A2430"/>
        <rFont val="WenQuanYi Zen Hei"/>
        <family val="2"/>
      </rPr>
      <t xml:space="preserve">回に分けて納品）</t>
    </r>
  </si>
  <si>
    <t xml:space="preserve">調整額</t>
  </si>
  <si>
    <t xml:space="preserve">ご注文金額（税込）</t>
  </si>
  <si>
    <r>
      <rPr>
        <sz val="9.5"/>
        <color rgb="FF1A2430"/>
        <rFont val="WenQuanYi Zen Hei"/>
        <family val="2"/>
      </rPr>
      <t xml:space="preserve">システム：ご発注後 約</t>
    </r>
    <r>
      <rPr>
        <sz val="9.5"/>
        <color rgb="FF1A2430"/>
        <rFont val="Meiryo"/>
        <family val="0"/>
        <charset val="1"/>
      </rPr>
      <t xml:space="preserve">4</t>
    </r>
    <r>
      <rPr>
        <sz val="9.5"/>
        <color rgb="FF1A2430"/>
        <rFont val="WenQuanYi Zen Hei"/>
        <family val="2"/>
      </rPr>
      <t xml:space="preserve">か月　／　教材：第</t>
    </r>
    <r>
      <rPr>
        <sz val="9.5"/>
        <color rgb="FF1A2430"/>
        <rFont val="Meiryo"/>
        <family val="0"/>
        <charset val="1"/>
      </rPr>
      <t xml:space="preserve">1</t>
    </r>
    <r>
      <rPr>
        <sz val="9.5"/>
        <color rgb="FF1A2430"/>
        <rFont val="WenQuanYi Zen Hei"/>
        <family val="2"/>
      </rPr>
      <t xml:space="preserve">次 約</t>
    </r>
    <r>
      <rPr>
        <sz val="9.5"/>
        <color rgb="FF1A2430"/>
        <rFont val="Meiryo"/>
        <family val="0"/>
        <charset val="1"/>
      </rPr>
      <t xml:space="preserve">4</t>
    </r>
    <r>
      <rPr>
        <sz val="9.5"/>
        <color rgb="FF1A2430"/>
        <rFont val="WenQuanYi Zen Hei"/>
        <family val="2"/>
      </rPr>
      <t xml:space="preserve">か月、第</t>
    </r>
    <r>
      <rPr>
        <sz val="9.5"/>
        <color rgb="FF1A2430"/>
        <rFont val="Meiryo"/>
        <family val="0"/>
        <charset val="1"/>
      </rPr>
      <t xml:space="preserve">2</t>
    </r>
    <r>
      <rPr>
        <sz val="9.5"/>
        <color rgb="FF1A2430"/>
        <rFont val="WenQuanYi Zen Hei"/>
        <family val="2"/>
      </rPr>
      <t xml:space="preserve">次 約</t>
    </r>
    <r>
      <rPr>
        <sz val="9.5"/>
        <color rgb="FF1A2430"/>
        <rFont val="Meiryo"/>
        <family val="0"/>
        <charset val="1"/>
      </rPr>
      <t xml:space="preserve">7</t>
    </r>
    <r>
      <rPr>
        <sz val="9.5"/>
        <color rgb="FF1A2430"/>
        <rFont val="WenQuanYi Zen Hei"/>
        <family val="2"/>
      </rPr>
      <t xml:space="preserve">か月、第</t>
    </r>
    <r>
      <rPr>
        <sz val="9.5"/>
        <color rgb="FF1A2430"/>
        <rFont val="Meiryo"/>
        <family val="0"/>
        <charset val="1"/>
      </rPr>
      <t xml:space="preserve">3</t>
    </r>
    <r>
      <rPr>
        <sz val="9.5"/>
        <color rgb="FF1A2430"/>
        <rFont val="WenQuanYi Zen Hei"/>
        <family val="2"/>
      </rPr>
      <t xml:space="preserve">次 約</t>
    </r>
    <r>
      <rPr>
        <sz val="9.5"/>
        <color rgb="FF1A2430"/>
        <rFont val="Meiryo"/>
        <family val="0"/>
        <charset val="1"/>
      </rPr>
      <t xml:space="preserve">10</t>
    </r>
    <r>
      <rPr>
        <sz val="9.5"/>
        <color rgb="FF1A2430"/>
        <rFont val="WenQuanYi Zen Hei"/>
        <family val="2"/>
      </rPr>
      <t xml:space="preserve">か月</t>
    </r>
  </si>
  <si>
    <r>
      <rPr>
        <sz val="9.5"/>
        <color rgb="FF1A2430"/>
        <rFont val="WenQuanYi Zen Hei"/>
        <family val="2"/>
      </rPr>
      <t xml:space="preserve">納品後</t>
    </r>
    <r>
      <rPr>
        <sz val="9.5"/>
        <color rgb="FF1A2430"/>
        <rFont val="Meiryo"/>
        <family val="0"/>
        <charset val="1"/>
      </rPr>
      <t xml:space="preserve">14</t>
    </r>
    <r>
      <rPr>
        <sz val="9.5"/>
        <color rgb="FF1A2430"/>
        <rFont val="WenQuanYi Zen Hei"/>
        <family val="2"/>
      </rPr>
      <t xml:space="preserve">日以内に検収。期間内にご連絡なき場合は検収完了とみなします。</t>
    </r>
  </si>
  <si>
    <t xml:space="preserve">別途契約</t>
  </si>
  <si>
    <r>
      <rPr>
        <sz val="9.5"/>
        <color rgb="FF1A2430"/>
        <rFont val="WenQuanYi Zen Hei"/>
        <family val="2"/>
      </rPr>
      <t xml:space="preserve">月額の保守・運用サービスおよび法令改正監視・通知サービス（合計</t>
    </r>
    <r>
      <rPr>
        <sz val="9.5"/>
        <color rgb="FF1A2430"/>
        <rFont val="Meiryo"/>
        <family val="0"/>
        <charset val="1"/>
      </rPr>
      <t xml:space="preserve">100,000</t>
    </r>
    <r>
      <rPr>
        <sz val="9.5"/>
        <color rgb="FF1A2430"/>
        <rFont val="WenQuanYi Zen Hei"/>
        <family val="2"/>
      </rPr>
      <t xml:space="preserve">円／月・税抜）は別途契約とします。</t>
    </r>
    <r>
      <rPr>
        <sz val="9.5"/>
        <color rgb="FF1A2430"/>
        <rFont val="Meiryo"/>
        <family val="0"/>
        <charset val="1"/>
      </rPr>
      <t xml:space="preserve">AWS</t>
    </r>
    <r>
      <rPr>
        <sz val="9.5"/>
        <color rgb="FF1A2430"/>
        <rFont val="WenQuanYi Zen Hei"/>
        <family val="2"/>
      </rPr>
      <t xml:space="preserve">利用料は発注者のご負担とします。</t>
    </r>
  </si>
  <si>
    <t xml:space="preserve">見積の前提条件</t>
  </si>
  <si>
    <r>
      <rPr>
        <b val="true"/>
        <sz val="11.5"/>
        <color rgb="FF1B3A57"/>
        <rFont val="Meiryo"/>
        <family val="0"/>
        <charset val="1"/>
      </rPr>
      <t xml:space="preserve">■ 1. </t>
    </r>
    <r>
      <rPr>
        <b val="true"/>
        <sz val="11.5"/>
        <color rgb="FF1B3A57"/>
        <rFont val="WenQuanYi Zen Hei"/>
        <family val="2"/>
      </rPr>
      <t xml:space="preserve">本見積に含まれるもの</t>
    </r>
  </si>
  <si>
    <t xml:space="preserve">設計書の範囲</t>
  </si>
  <si>
    <r>
      <rPr>
        <sz val="9.5"/>
        <color rgb="FF1A2430"/>
        <rFont val="WenQuanYi Zen Hei"/>
        <family val="2"/>
      </rPr>
      <t xml:space="preserve">次の</t>
    </r>
    <r>
      <rPr>
        <sz val="9.5"/>
        <color rgb="FF1A2430"/>
        <rFont val="Meiryo"/>
        <family val="0"/>
        <charset val="1"/>
      </rPr>
      <t xml:space="preserve">2</t>
    </r>
    <r>
      <rPr>
        <sz val="9.5"/>
        <color rgb="FF1A2430"/>
        <rFont val="WenQuanYi Zen Hei"/>
        <family val="2"/>
      </rPr>
      <t xml:space="preserve">つの設計書に記載された機能のうち、シート</t>
    </r>
    <r>
      <rPr>
        <sz val="9.5"/>
        <color rgb="FF1A2430"/>
        <rFont val="Meiryo"/>
        <family val="0"/>
        <charset val="1"/>
      </rPr>
      <t xml:space="preserve">02</t>
    </r>
    <r>
      <rPr>
        <sz val="9.5"/>
        <color rgb="FF1A2430"/>
        <rFont val="WenQuanYi Zen Hei"/>
        <family val="2"/>
      </rPr>
      <t xml:space="preserve">に明示した範囲の設計・実装・テスト・受入支援。</t>
    </r>
  </si>
  <si>
    <r>
      <rPr>
        <sz val="9.5"/>
        <color rgb="FF1A2430"/>
        <rFont val="WenQuanYi Zen Hei"/>
        <family val="2"/>
      </rPr>
      <t xml:space="preserve">（</t>
    </r>
    <r>
      <rPr>
        <sz val="9.5"/>
        <color rgb="FF1A2430"/>
        <rFont val="Meiryo"/>
        <family val="0"/>
        <charset val="1"/>
      </rPr>
      <t xml:space="preserve">1</t>
    </r>
    <r>
      <rPr>
        <sz val="9.5"/>
        <color rgb="FF1A2430"/>
        <rFont val="WenQuanYi Zen Hei"/>
        <family val="2"/>
      </rPr>
      <t xml:space="preserve">）特別教育 </t>
    </r>
    <r>
      <rPr>
        <sz val="9.5"/>
        <color rgb="FF1A2430"/>
        <rFont val="Meiryo"/>
        <family val="0"/>
        <charset val="1"/>
      </rPr>
      <t xml:space="preserve">e</t>
    </r>
    <r>
      <rPr>
        <sz val="9.5"/>
        <color rgb="FF1A2430"/>
        <rFont val="WenQuanYi Zen Hei"/>
        <family val="2"/>
      </rPr>
      <t xml:space="preserve">ラーニング 本人確認・受講確認システム 詳細設計書 </t>
    </r>
    <r>
      <rPr>
        <sz val="9.5"/>
        <color rgb="FF1A2430"/>
        <rFont val="Meiryo"/>
        <family val="0"/>
        <charset val="1"/>
      </rPr>
      <t xml:space="preserve">rev.1</t>
    </r>
    <r>
      <rPr>
        <sz val="9.5"/>
        <color rgb="FF1A2430"/>
        <rFont val="WenQuanYi Zen Hei"/>
        <family val="2"/>
      </rPr>
      <t xml:space="preserve">（</t>
    </r>
    <r>
      <rPr>
        <sz val="9.5"/>
        <color rgb="FF1A2430"/>
        <rFont val="Meiryo"/>
        <family val="0"/>
        <charset val="1"/>
      </rPr>
      <t xml:space="preserve">2026</t>
    </r>
    <r>
      <rPr>
        <sz val="9.5"/>
        <color rgb="FF1A2430"/>
        <rFont val="WenQuanYi Zen Hei"/>
        <family val="2"/>
      </rPr>
      <t xml:space="preserve">年</t>
    </r>
    <r>
      <rPr>
        <sz val="9.5"/>
        <color rgb="FF1A2430"/>
        <rFont val="Meiryo"/>
        <family val="0"/>
        <charset val="1"/>
      </rPr>
      <t xml:space="preserve">9</t>
    </r>
    <r>
      <rPr>
        <sz val="9.5"/>
        <color rgb="FF1A2430"/>
        <rFont val="WenQuanYi Zen Hei"/>
        <family val="2"/>
      </rPr>
      <t xml:space="preserve">月</t>
    </r>
    <r>
      <rPr>
        <sz val="9.5"/>
        <color rgb="FF1A2430"/>
        <rFont val="Meiryo"/>
        <family val="0"/>
        <charset val="1"/>
      </rPr>
      <t xml:space="preserve">5</t>
    </r>
    <r>
      <rPr>
        <sz val="9.5"/>
        <color rgb="FF1A2430"/>
        <rFont val="WenQuanYi Zen Hei"/>
        <family val="2"/>
      </rPr>
      <t xml:space="preserve">日）</t>
    </r>
  </si>
  <si>
    <r>
      <rPr>
        <sz val="9.5"/>
        <color rgb="FF1A2430"/>
        <rFont val="WenQuanYi Zen Hei"/>
        <family val="2"/>
      </rPr>
      <t xml:space="preserve">（</t>
    </r>
    <r>
      <rPr>
        <sz val="9.5"/>
        <color rgb="FF1A2430"/>
        <rFont val="Meiryo"/>
        <family val="0"/>
        <charset val="1"/>
      </rPr>
      <t xml:space="preserve">2</t>
    </r>
    <r>
      <rPr>
        <sz val="9.5"/>
        <color rgb="FF1A2430"/>
        <rFont val="WenQuanYi Zen Hei"/>
        <family val="2"/>
      </rPr>
      <t xml:space="preserve">）アーク溶接等特別教育 配信システム基本設計書 </t>
    </r>
    <r>
      <rPr>
        <sz val="9.5"/>
        <color rgb="FF1A2430"/>
        <rFont val="Meiryo"/>
        <family val="0"/>
        <charset val="1"/>
      </rPr>
      <t xml:space="preserve">1.1</t>
    </r>
    <r>
      <rPr>
        <sz val="9.5"/>
        <color rgb="FF1A2430"/>
        <rFont val="WenQuanYi Zen Hei"/>
        <family val="2"/>
      </rPr>
      <t xml:space="preserve">（</t>
    </r>
    <r>
      <rPr>
        <sz val="9.5"/>
        <color rgb="FF1A2430"/>
        <rFont val="Meiryo"/>
        <family val="0"/>
        <charset val="1"/>
      </rPr>
      <t xml:space="preserve">2026</t>
    </r>
    <r>
      <rPr>
        <sz val="9.5"/>
        <color rgb="FF1A2430"/>
        <rFont val="WenQuanYi Zen Hei"/>
        <family val="2"/>
      </rPr>
      <t xml:space="preserve">年</t>
    </r>
    <r>
      <rPr>
        <sz val="9.5"/>
        <color rgb="FF1A2430"/>
        <rFont val="Meiryo"/>
        <family val="0"/>
        <charset val="1"/>
      </rPr>
      <t xml:space="preserve">9</t>
    </r>
    <r>
      <rPr>
        <sz val="9.5"/>
        <color rgb="FF1A2430"/>
        <rFont val="WenQuanYi Zen Hei"/>
        <family val="2"/>
      </rPr>
      <t xml:space="preserve">月</t>
    </r>
    <r>
      <rPr>
        <sz val="9.5"/>
        <color rgb="FF1A2430"/>
        <rFont val="Meiryo"/>
        <family val="0"/>
        <charset val="1"/>
      </rPr>
      <t xml:space="preserve">5</t>
    </r>
    <r>
      <rPr>
        <sz val="9.5"/>
        <color rgb="FF1A2430"/>
        <rFont val="WenQuanYi Zen Hei"/>
        <family val="2"/>
      </rPr>
      <t xml:space="preserve">日）</t>
    </r>
  </si>
  <si>
    <r>
      <rPr>
        <sz val="9.5"/>
        <color rgb="FF1A2430"/>
        <rFont val="WenQuanYi Zen Hei"/>
        <family val="2"/>
      </rPr>
      <t xml:space="preserve">特別教育 学科教材 </t>
    </r>
    <r>
      <rPr>
        <sz val="9.5"/>
        <color rgb="FF1A2430"/>
        <rFont val="Meiryo"/>
        <family val="0"/>
        <charset val="1"/>
      </rPr>
      <t xml:space="preserve">10</t>
    </r>
    <r>
      <rPr>
        <sz val="9.5"/>
        <color rgb="FF1A2430"/>
        <rFont val="WenQuanYi Zen Hei"/>
        <family val="2"/>
      </rPr>
      <t xml:space="preserve">科目（学科</t>
    </r>
    <r>
      <rPr>
        <sz val="9.5"/>
        <color rgb="FF1A2430"/>
        <rFont val="Meiryo"/>
        <family val="0"/>
        <charset val="1"/>
      </rPr>
      <t xml:space="preserve">58</t>
    </r>
    <r>
      <rPr>
        <sz val="9.5"/>
        <color rgb="FF1A2430"/>
        <rFont val="WenQuanYi Zen Hei"/>
        <family val="2"/>
      </rPr>
      <t xml:space="preserve">時間分）。</t>
    </r>
    <r>
      <rPr>
        <sz val="9.5"/>
        <color rgb="FF1A2430"/>
        <rFont val="Meiryo"/>
        <family val="0"/>
        <charset val="1"/>
      </rPr>
      <t xml:space="preserve">3</t>
    </r>
    <r>
      <rPr>
        <sz val="9.5"/>
        <color rgb="FF1A2430"/>
        <rFont val="WenQuanYi Zen Hei"/>
        <family val="2"/>
      </rPr>
      <t xml:space="preserve">回に分けて納品します。</t>
    </r>
  </si>
  <si>
    <r>
      <rPr>
        <b val="true"/>
        <sz val="9.5"/>
        <color rgb="FF1A2430"/>
        <rFont val="Meiryo"/>
        <family val="0"/>
        <charset val="1"/>
      </rPr>
      <t xml:space="preserve">AWS</t>
    </r>
    <r>
      <rPr>
        <b val="true"/>
        <sz val="9.5"/>
        <color rgb="FF1A2430"/>
        <rFont val="WenQuanYi Zen Hei"/>
        <family val="2"/>
      </rPr>
      <t xml:space="preserve">環境の構築</t>
    </r>
  </si>
  <si>
    <r>
      <rPr>
        <sz val="9.5"/>
        <color rgb="FF1A2430"/>
        <rFont val="WenQuanYi Zen Hei"/>
        <family val="2"/>
      </rPr>
      <t xml:space="preserve">本番運用に耐える構成で構築します。</t>
    </r>
    <r>
      <rPr>
        <sz val="9.5"/>
        <color rgb="FF1A2430"/>
        <rFont val="Meiryo"/>
        <family val="0"/>
        <charset val="1"/>
      </rPr>
      <t xml:space="preserve">RDS PostgreSQL </t>
    </r>
    <r>
      <rPr>
        <sz val="9.5"/>
        <color rgb="FF1A2430"/>
        <rFont val="WenQuanYi Zen Hei"/>
        <family val="2"/>
      </rPr>
      <t xml:space="preserve">は </t>
    </r>
    <r>
      <rPr>
        <sz val="9.5"/>
        <color rgb="FF1A2430"/>
        <rFont val="Meiryo"/>
        <family val="0"/>
        <charset val="1"/>
      </rPr>
      <t xml:space="preserve">Multi-AZ </t>
    </r>
    <r>
      <rPr>
        <sz val="9.5"/>
        <color rgb="FF1A2430"/>
        <rFont val="WenQuanYi Zen Hei"/>
        <family val="2"/>
      </rPr>
      <t xml:space="preserve">とし、自動バックアップと</t>
    </r>
    <r>
      <rPr>
        <sz val="9.5"/>
        <color rgb="FF1A2430"/>
        <rFont val="Meiryo"/>
        <family val="0"/>
        <charset val="1"/>
      </rPr>
      <t xml:space="preserve">PITR</t>
    </r>
    <r>
      <rPr>
        <sz val="9.5"/>
        <color rgb="FF1A2430"/>
        <rFont val="WenQuanYi Zen Hei"/>
        <family val="2"/>
      </rPr>
      <t xml:space="preserve">を有効にします。</t>
    </r>
    <r>
      <rPr>
        <sz val="9.5"/>
        <color rgb="FF1A2430"/>
        <rFont val="Meiryo"/>
        <family val="0"/>
        <charset val="1"/>
      </rPr>
      <t xml:space="preserve">NAT Gateway </t>
    </r>
    <r>
      <rPr>
        <sz val="9.5"/>
        <color rgb="FF1A2430"/>
        <rFont val="WenQuanYi Zen Hei"/>
        <family val="2"/>
      </rPr>
      <t xml:space="preserve">は </t>
    </r>
    <r>
      <rPr>
        <sz val="9.5"/>
        <color rgb="FF1A2430"/>
        <rFont val="Meiryo"/>
        <family val="0"/>
        <charset val="1"/>
      </rPr>
      <t xml:space="preserve">VPC</t>
    </r>
    <r>
      <rPr>
        <sz val="9.5"/>
        <color rgb="FF1A2430"/>
        <rFont val="WenQuanYi Zen Hei"/>
        <family val="2"/>
      </rPr>
      <t xml:space="preserve">エンドポイントの活用により不要とし、費用を抑えます。</t>
    </r>
  </si>
  <si>
    <r>
      <rPr>
        <b val="true"/>
        <sz val="11.5"/>
        <color rgb="FF9E2F27"/>
        <rFont val="Meiryo"/>
        <family val="0"/>
        <charset val="1"/>
      </rPr>
      <t xml:space="preserve">■ 2. </t>
    </r>
    <r>
      <rPr>
        <b val="true"/>
        <sz val="11.5"/>
        <color rgb="FF9E2F27"/>
        <rFont val="WenQuanYi Zen Hei"/>
        <family val="2"/>
      </rPr>
      <t xml:space="preserve">本見積に含まれないもの</t>
    </r>
  </si>
  <si>
    <t xml:space="preserve">月額サービス</t>
  </si>
  <si>
    <r>
      <rPr>
        <sz val="9.5"/>
        <color rgb="FF1A2430"/>
        <rFont val="WenQuanYi Zen Hei"/>
        <family val="2"/>
      </rPr>
      <t xml:space="preserve">保守・運用サービス </t>
    </r>
    <r>
      <rPr>
        <sz val="9.5"/>
        <color rgb="FF1A2430"/>
        <rFont val="Meiryo"/>
        <family val="0"/>
        <charset val="1"/>
      </rPr>
      <t xml:space="preserve">80,000</t>
    </r>
    <r>
      <rPr>
        <sz val="9.5"/>
        <color rgb="FF1A2430"/>
        <rFont val="WenQuanYi Zen Hei"/>
        <family val="2"/>
      </rPr>
      <t xml:space="preserve">円／月、法令改正監視・通知サービス </t>
    </r>
    <r>
      <rPr>
        <sz val="9.5"/>
        <color rgb="FF1A2430"/>
        <rFont val="Meiryo"/>
        <family val="0"/>
        <charset val="1"/>
      </rPr>
      <t xml:space="preserve">20,000</t>
    </r>
    <r>
      <rPr>
        <sz val="9.5"/>
        <color rgb="FF1A2430"/>
        <rFont val="WenQuanYi Zen Hei"/>
        <family val="2"/>
      </rPr>
      <t xml:space="preserve">円／月（いずれも税抜）。別途契約とします。</t>
    </r>
  </si>
  <si>
    <r>
      <rPr>
        <b val="true"/>
        <sz val="9.5"/>
        <color rgb="FF1A2430"/>
        <rFont val="Meiryo"/>
        <family val="0"/>
        <charset val="1"/>
      </rPr>
      <t xml:space="preserve">AWS </t>
    </r>
    <r>
      <rPr>
        <b val="true"/>
        <sz val="9.5"/>
        <color rgb="FF1A2430"/>
        <rFont val="WenQuanYi Zen Hei"/>
        <family val="2"/>
      </rPr>
      <t xml:space="preserve">利用料</t>
    </r>
  </si>
  <si>
    <r>
      <rPr>
        <sz val="9.5"/>
        <color rgb="FF1A2430"/>
        <rFont val="WenQuanYi Zen Hei"/>
        <family val="2"/>
      </rPr>
      <t xml:space="preserve">聖建様のご負担とします。推奨構成（構成</t>
    </r>
    <r>
      <rPr>
        <sz val="9.5"/>
        <color rgb="FF1A2430"/>
        <rFont val="Meiryo"/>
        <family val="0"/>
        <charset val="1"/>
      </rPr>
      <t xml:space="preserve">B</t>
    </r>
    <r>
      <rPr>
        <sz val="9.5"/>
        <color rgb="FF1A2430"/>
        <rFont val="WenQuanYi Zen Hei"/>
        <family val="2"/>
      </rPr>
      <t xml:space="preserve">）で月額</t>
    </r>
    <r>
      <rPr>
        <sz val="9.5"/>
        <color rgb="FF1A2430"/>
        <rFont val="Meiryo"/>
        <family val="0"/>
        <charset val="1"/>
      </rPr>
      <t xml:space="preserve">22,800</t>
    </r>
    <r>
      <rPr>
        <sz val="9.5"/>
        <color rgb="FF1A2430"/>
        <rFont val="WenQuanYi Zen Hei"/>
        <family val="2"/>
      </rPr>
      <t xml:space="preserve">円程度（税抜）を見込みます。</t>
    </r>
    <r>
      <rPr>
        <sz val="9.5"/>
        <color rgb="FF1A2430"/>
        <rFont val="Meiryo"/>
        <family val="0"/>
        <charset val="1"/>
      </rPr>
      <t xml:space="preserve">EC2</t>
    </r>
    <r>
      <rPr>
        <sz val="9.5"/>
        <color rgb="FF1A2430"/>
        <rFont val="WenQuanYi Zen Hei"/>
        <family val="2"/>
      </rPr>
      <t xml:space="preserve">の冗長化と</t>
    </r>
    <r>
      <rPr>
        <sz val="9.5"/>
        <color rgb="FF1A2430"/>
        <rFont val="Meiryo"/>
        <family val="0"/>
        <charset val="1"/>
      </rPr>
      <t xml:space="preserve">NAT Gateway</t>
    </r>
    <r>
      <rPr>
        <sz val="9.5"/>
        <color rgb="FF1A2430"/>
        <rFont val="WenQuanYi Zen Hei"/>
        <family val="2"/>
      </rPr>
      <t xml:space="preserve">を加えたフル冗長構成では</t>
    </r>
    <r>
      <rPr>
        <sz val="9.5"/>
        <color rgb="FF1A2430"/>
        <rFont val="Meiryo"/>
        <family val="0"/>
        <charset val="1"/>
      </rPr>
      <t xml:space="preserve">36,000</t>
    </r>
    <r>
      <rPr>
        <sz val="9.5"/>
        <color rgb="FF1A2430"/>
        <rFont val="WenQuanYi Zen Hei"/>
        <family val="2"/>
      </rPr>
      <t xml:space="preserve">円程度です。聖建様名義でのご契約を推奨します。</t>
    </r>
  </si>
  <si>
    <t xml:space="preserve">教材の改訂</t>
  </si>
  <si>
    <r>
      <rPr>
        <sz val="9.5"/>
        <color rgb="FF1A2430"/>
        <rFont val="WenQuanYi Zen Hei"/>
        <family val="2"/>
      </rPr>
      <t xml:space="preserve">法令改正にともなう改訂は</t>
    </r>
    <r>
      <rPr>
        <sz val="9.5"/>
        <color rgb="FF1A2430"/>
        <rFont val="Meiryo"/>
        <family val="0"/>
        <charset val="1"/>
      </rPr>
      <t xml:space="preserve">1</t>
    </r>
    <r>
      <rPr>
        <sz val="9.5"/>
        <color rgb="FF1A2430"/>
        <rFont val="WenQuanYi Zen Hei"/>
        <family val="2"/>
      </rPr>
      <t xml:space="preserve">科目</t>
    </r>
    <r>
      <rPr>
        <sz val="9.5"/>
        <color rgb="FF1A2430"/>
        <rFont val="Meiryo"/>
        <family val="0"/>
        <charset val="1"/>
      </rPr>
      <t xml:space="preserve">300,000</t>
    </r>
    <r>
      <rPr>
        <sz val="9.5"/>
        <color rgb="FF1A2430"/>
        <rFont val="WenQuanYi Zen Hei"/>
        <family val="2"/>
      </rPr>
      <t xml:space="preserve">円（新規制作と同額）。都度ご発注ください。</t>
    </r>
  </si>
  <si>
    <r>
      <rPr>
        <b val="true"/>
        <sz val="9.5"/>
        <color rgb="FF1A2430"/>
        <rFont val="WenQuanYi Zen Hei"/>
        <family val="2"/>
      </rPr>
      <t xml:space="preserve">第</t>
    </r>
    <r>
      <rPr>
        <b val="true"/>
        <sz val="9.5"/>
        <color rgb="FF1A2430"/>
        <rFont val="Meiryo"/>
        <family val="0"/>
        <charset val="1"/>
      </rPr>
      <t xml:space="preserve">2</t>
    </r>
    <r>
      <rPr>
        <b val="true"/>
        <sz val="9.5"/>
        <color rgb="FF1A2430"/>
        <rFont val="WenQuanYi Zen Hei"/>
        <family val="2"/>
      </rPr>
      <t xml:space="preserve">次発注の対象機能</t>
    </r>
  </si>
  <si>
    <t xml:space="preserve">企業管理ポータル、オンライン決済、運営管理画面の拡張（監査レポート出力等）、質疑応答機能、修了証の真正性検証ページ、教材の版管理の強化。</t>
  </si>
  <si>
    <t xml:space="preserve">教材の監修</t>
  </si>
  <si>
    <t xml:space="preserve">内容の監修は聖建様の社内有資格者が担われる前提です。外部監修が必要な場合は別途となります。</t>
  </si>
  <si>
    <t xml:space="preserve">実技教育</t>
  </si>
  <si>
    <t xml:space="preserve">実技はオンラインで代替できません。受講者の所属事業者が実施する前提です。</t>
  </si>
  <si>
    <t xml:space="preserve">集客・販売促進</t>
  </si>
  <si>
    <r>
      <rPr>
        <sz val="9.5"/>
        <color rgb="FF1A2430"/>
        <rFont val="WenQuanYi Zen Hei"/>
        <family val="2"/>
      </rPr>
      <t xml:space="preserve">ランディングページ、</t>
    </r>
    <r>
      <rPr>
        <sz val="9.5"/>
        <color rgb="FF1A2430"/>
        <rFont val="Meiryo"/>
        <family val="0"/>
        <charset val="1"/>
      </rPr>
      <t xml:space="preserve">SEO</t>
    </r>
    <r>
      <rPr>
        <sz val="9.5"/>
        <color rgb="FF1A2430"/>
        <rFont val="WenQuanYi Zen Hei"/>
        <family val="2"/>
      </rPr>
      <t xml:space="preserve">、</t>
    </r>
    <r>
      <rPr>
        <sz val="9.5"/>
        <color rgb="FF1A2430"/>
        <rFont val="Meiryo"/>
        <family val="0"/>
        <charset val="1"/>
      </rPr>
      <t xml:space="preserve">Web</t>
    </r>
    <r>
      <rPr>
        <sz val="9.5"/>
        <color rgb="FF1A2430"/>
        <rFont val="WenQuanYi Zen Hei"/>
        <family val="2"/>
      </rPr>
      <t xml:space="preserve">広告の運用。</t>
    </r>
  </si>
  <si>
    <r>
      <rPr>
        <b val="true"/>
        <sz val="11.5"/>
        <color rgb="FF1B3A57"/>
        <rFont val="Meiryo"/>
        <family val="0"/>
        <charset val="1"/>
      </rPr>
      <t xml:space="preserve">■ 3. </t>
    </r>
    <r>
      <rPr>
        <b val="true"/>
        <sz val="11.5"/>
        <color rgb="FF1B3A57"/>
        <rFont val="WenQuanYi Zen Hei"/>
        <family val="2"/>
      </rPr>
      <t xml:space="preserve">責任の分担</t>
    </r>
  </si>
  <si>
    <t xml:space="preserve">弊社が保証すること</t>
  </si>
  <si>
    <t xml:space="preserve">教材が安全衛生特別教育規程の定める科目・範囲・時間を満たすこと（監修者名を明示）。受講記録を証明可能な形で保存・出力できること。</t>
  </si>
  <si>
    <t xml:space="preserve">弊社が保証しないこと</t>
  </si>
  <si>
    <r>
      <rPr>
        <sz val="9.5"/>
        <color rgb="FF1A2430"/>
        <rFont val="WenQuanYi Zen Hei"/>
        <family val="2"/>
      </rPr>
      <t xml:space="preserve">受講者の所属事業者が負う労働安全衛生法第</t>
    </r>
    <r>
      <rPr>
        <sz val="9.5"/>
        <color rgb="FF1A2430"/>
        <rFont val="Meiryo"/>
        <family val="0"/>
        <charset val="1"/>
      </rPr>
      <t xml:space="preserve">59</t>
    </r>
    <r>
      <rPr>
        <sz val="9.5"/>
        <color rgb="FF1A2430"/>
        <rFont val="WenQuanYi Zen Hei"/>
        <family val="2"/>
      </rPr>
      <t xml:space="preserve">条第</t>
    </r>
    <r>
      <rPr>
        <sz val="9.5"/>
        <color rgb="FF1A2430"/>
        <rFont val="Meiryo"/>
        <family val="0"/>
        <charset val="1"/>
      </rPr>
      <t xml:space="preserve">3</t>
    </r>
    <r>
      <rPr>
        <sz val="9.5"/>
        <color rgb="FF1A2430"/>
        <rFont val="WenQuanYi Zen Hei"/>
        <family val="2"/>
      </rPr>
      <t xml:space="preserve">項の実施義務が果たされたこと。労働災害が発生しないこと。行政機関が個別の事案において本教材を適法と判断すること。</t>
    </r>
  </si>
  <si>
    <t xml:space="preserve">法令改正への対応</t>
  </si>
  <si>
    <t xml:space="preserve">弊社は官報・通達を機械的に監視し、該当しうる改正を自動でメール通知します。その改正が教材のどこに影響するかの判断は、聖建様の監修者が行うものとします。</t>
  </si>
  <si>
    <t xml:space="preserve">事前相談</t>
  </si>
  <si>
    <t xml:space="preserve">所轄の労働基準監督署への事前相談を、章立ての設計が固まった段階で共同で実施することを推奨します（費用は発生しません）。</t>
  </si>
  <si>
    <r>
      <rPr>
        <b val="true"/>
        <sz val="11.5"/>
        <color rgb="FF1B3A57"/>
        <rFont val="Meiryo"/>
        <family val="0"/>
        <charset val="1"/>
      </rPr>
      <t xml:space="preserve">■ 4. </t>
    </r>
    <r>
      <rPr>
        <b val="true"/>
        <sz val="11.5"/>
        <color rgb="FF1B3A57"/>
        <rFont val="WenQuanYi Zen Hei"/>
        <family val="2"/>
      </rPr>
      <t xml:space="preserve">金額の前提</t>
    </r>
  </si>
  <si>
    <r>
      <rPr>
        <sz val="9.5"/>
        <color rgb="FF1A2430"/>
        <rFont val="Meiryo"/>
        <family val="0"/>
        <charset val="1"/>
      </rPr>
      <t xml:space="preserve">50,000</t>
    </r>
    <r>
      <rPr>
        <sz val="9.5"/>
        <color rgb="FF1A2430"/>
        <rFont val="WenQuanYi Zen Hei"/>
        <family val="2"/>
      </rPr>
      <t xml:space="preserve">円／人日（シート</t>
    </r>
    <r>
      <rPr>
        <sz val="9.5"/>
        <color rgb="FF1A2430"/>
        <rFont val="Meiryo"/>
        <family val="0"/>
        <charset val="1"/>
      </rPr>
      <t xml:space="preserve">02</t>
    </r>
    <r>
      <rPr>
        <sz val="9.5"/>
        <color rgb="FF1A2430"/>
        <rFont val="WenQuanYi Zen Hei"/>
        <family val="2"/>
      </rPr>
      <t xml:space="preserve">の</t>
    </r>
    <r>
      <rPr>
        <sz val="9.5"/>
        <color rgb="FF1A2430"/>
        <rFont val="Meiryo"/>
        <family val="0"/>
        <charset val="1"/>
      </rPr>
      <t xml:space="preserve">C4</t>
    </r>
    <r>
      <rPr>
        <sz val="9.5"/>
        <color rgb="FF1A2430"/>
        <rFont val="WenQuanYi Zen Hei"/>
        <family val="2"/>
      </rPr>
      <t xml:space="preserve">で変更可能）。</t>
    </r>
  </si>
  <si>
    <t xml:space="preserve">教材制作単価</t>
  </si>
  <si>
    <r>
      <rPr>
        <sz val="9.5"/>
        <color rgb="FF1A2430"/>
        <rFont val="Meiryo"/>
        <family val="0"/>
        <charset val="1"/>
      </rPr>
      <t xml:space="preserve">300,000</t>
    </r>
    <r>
      <rPr>
        <sz val="9.5"/>
        <color rgb="FF1A2430"/>
        <rFont val="WenQuanYi Zen Hei"/>
        <family val="2"/>
      </rPr>
      <t xml:space="preserve">円／科目。聖建様ご指定の単価です。改訂時も同額を適用します。</t>
    </r>
  </si>
  <si>
    <t xml:space="preserve">概算である旨</t>
  </si>
  <si>
    <t xml:space="preserve">本書は要件確定前の概算見積です。要件定義の完了後、正式なお見積りを提出いたします。</t>
  </si>
  <si>
    <r>
      <rPr>
        <sz val="9.5"/>
        <color rgb="FF1A2430"/>
        <rFont val="WenQuanYi Zen Hei"/>
        <family val="2"/>
      </rPr>
      <t xml:space="preserve">発行日より</t>
    </r>
    <r>
      <rPr>
        <sz val="9.5"/>
        <color rgb="FF1A2430"/>
        <rFont val="Meiryo"/>
        <family val="0"/>
        <charset val="1"/>
      </rPr>
      <t xml:space="preserve">60</t>
    </r>
    <r>
      <rPr>
        <sz val="9.5"/>
        <color rgb="FF1A2430"/>
        <rFont val="WenQuanYi Zen Hei"/>
        <family val="2"/>
      </rPr>
      <t xml:space="preserve">日間。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</si>
</sst>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¥#,##0&quot;  （税抜）&quot;"/>
    <numFmt numFmtId="166" formatCode="#,##0.0&quot;人日&quot;;;\-"/>
    <numFmt numFmtId="167" formatCode="\¥#,##0;&quot;(¥&quot;#,##0\);\-"/>
    <numFmt numFmtId="168" formatCode="0&quot;科目&quot;"/>
    <numFmt numFmtId="169" formatCode="0%"/>
    <numFmt numFmtId="170" formatCode="0.0\h"/>
  </numFmts>
  <fonts count="5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1B3A57"/>
      <name val="WenQuanYi Zen Hei"/>
      <family val="2"/>
    </font>
    <font>
      <sz val="9"/>
      <color rgb="FF6C7A87"/>
      <name val="WenQuanYi Zen Hei"/>
      <family val="2"/>
    </font>
    <font>
      <sz val="9"/>
      <color rgb="FF0000FF"/>
      <name val="Meiryo"/>
      <family val="0"/>
      <charset val="1"/>
    </font>
    <font>
      <sz val="9"/>
      <color rgb="FF0000FF"/>
      <name val="WenQuanYi Zen Hei"/>
      <family val="2"/>
    </font>
    <font>
      <b val="true"/>
      <sz val="15"/>
      <color rgb="FF1A2430"/>
      <name val="WenQuanYi Zen Hei"/>
      <family val="2"/>
    </font>
    <font>
      <b val="true"/>
      <sz val="12"/>
      <color rgb="FF1A2430"/>
      <name val="WenQuanYi Zen Hei"/>
      <family val="2"/>
    </font>
    <font>
      <sz val="9"/>
      <color rgb="FF6C7A87"/>
      <name val="Meiryo"/>
      <family val="0"/>
      <charset val="1"/>
    </font>
    <font>
      <sz val="8.5"/>
      <color rgb="FF6C7A87"/>
      <name val="WenQuanYi Zen Hei"/>
      <family val="2"/>
    </font>
    <font>
      <sz val="8.5"/>
      <color rgb="FF0000FF"/>
      <name val="WenQuanYi Zen Hei"/>
      <family val="2"/>
    </font>
    <font>
      <sz val="9.5"/>
      <color rgb="FF6C7A87"/>
      <name val="WenQuanYi Zen Hei"/>
      <family val="2"/>
    </font>
    <font>
      <sz val="8.5"/>
      <color rgb="FF6C7A87"/>
      <name val="Meiryo"/>
      <family val="0"/>
      <charset val="1"/>
    </font>
    <font>
      <sz val="8.5"/>
      <color rgb="FF0000FF"/>
      <name val="Meiryo"/>
      <family val="0"/>
      <charset val="1"/>
    </font>
    <font>
      <sz val="8.5"/>
      <color rgb="FF1A2430"/>
      <name val="WenQuanYi Zen Hei"/>
      <family val="2"/>
    </font>
    <font>
      <sz val="10"/>
      <color rgb="FF1A2430"/>
      <name val="WenQuanYi Zen Hei"/>
      <family val="2"/>
    </font>
    <font>
      <b val="true"/>
      <sz val="10"/>
      <color rgb="FF1A2430"/>
      <name val="WenQuanYi Zen Hei"/>
      <family val="2"/>
    </font>
    <font>
      <sz val="10"/>
      <color rgb="FF1A2430"/>
      <name val="Meiryo"/>
      <family val="0"/>
      <charset val="1"/>
    </font>
    <font>
      <b val="true"/>
      <sz val="18"/>
      <color rgb="FF1B3A57"/>
      <name val="Meiryo"/>
      <family val="0"/>
      <charset val="1"/>
    </font>
    <font>
      <sz val="11"/>
      <color rgb="FF6C7A87"/>
      <name val="WenQuanYi Zen Hei"/>
      <family val="2"/>
    </font>
    <font>
      <sz val="9.5"/>
      <color rgb="FF1A2430"/>
      <name val="WenQuanYi Zen Hei"/>
      <family val="2"/>
    </font>
    <font>
      <sz val="9.5"/>
      <color rgb="FF1A2430"/>
      <name val="Meiryo"/>
      <family val="0"/>
      <charset val="1"/>
    </font>
    <font>
      <b val="true"/>
      <sz val="11"/>
      <color rgb="FF1B3A57"/>
      <name val="WenQuanYi Zen Hei"/>
      <family val="2"/>
    </font>
    <font>
      <b val="true"/>
      <sz val="9.5"/>
      <color rgb="FFFFFFFF"/>
      <name val="Meiryo"/>
      <family val="0"/>
      <charset val="1"/>
    </font>
    <font>
      <b val="true"/>
      <sz val="9.5"/>
      <color rgb="FFFFFFFF"/>
      <name val="WenQuanYi Zen Hei"/>
      <family val="2"/>
    </font>
    <font>
      <b val="true"/>
      <sz val="10"/>
      <color rgb="FF1A2430"/>
      <name val="Meiryo"/>
      <family val="0"/>
      <charset val="1"/>
    </font>
    <font>
      <b val="true"/>
      <sz val="11"/>
      <color rgb="FF1A2430"/>
      <name val="WenQuanYi Zen Hei"/>
      <family val="2"/>
    </font>
    <font>
      <b val="true"/>
      <sz val="11"/>
      <color rgb="FF1A2430"/>
      <name val="Meiryo"/>
      <family val="0"/>
      <charset val="1"/>
    </font>
    <font>
      <b val="true"/>
      <sz val="10"/>
      <color rgb="FF1B3A57"/>
      <name val="WenQuanYi Zen Hei"/>
      <family val="2"/>
    </font>
    <font>
      <b val="true"/>
      <sz val="15"/>
      <color rgb="FF1B3A57"/>
      <name val="WenQuanYi Zen Hei"/>
      <family val="2"/>
    </font>
    <font>
      <b val="true"/>
      <sz val="10"/>
      <color rgb="FF0000FF"/>
      <name val="Meiryo"/>
      <family val="0"/>
      <charset val="1"/>
    </font>
    <font>
      <b val="true"/>
      <sz val="10"/>
      <color rgb="FF1B3A57"/>
      <name val="Meiryo"/>
      <family val="0"/>
      <charset val="1"/>
    </font>
    <font>
      <sz val="10"/>
      <color rgb="FF1E6B4A"/>
      <name val="Meiryo"/>
      <family val="0"/>
      <charset val="1"/>
    </font>
    <font>
      <b val="true"/>
      <sz val="12"/>
      <color rgb="FF1A2430"/>
      <name val="Meiryo"/>
      <family val="0"/>
      <charset val="1"/>
    </font>
    <font>
      <b val="true"/>
      <sz val="9.5"/>
      <color rgb="FF1B3A57"/>
      <name val="WenQuanYi Zen Hei"/>
      <family val="2"/>
    </font>
    <font>
      <sz val="9.5"/>
      <color rgb="FF6C7A87"/>
      <name val="Meiryo"/>
      <family val="0"/>
      <charset val="1"/>
    </font>
    <font>
      <b val="true"/>
      <sz val="9.5"/>
      <color rgb="FF1B3A57"/>
      <name val="Meiryo"/>
      <family val="0"/>
      <charset val="1"/>
    </font>
    <font>
      <sz val="10"/>
      <name val="WenQuanYi Zen Hei"/>
      <family val="2"/>
    </font>
    <font>
      <b val="true"/>
      <sz val="15"/>
      <color rgb="FF1B3A57"/>
      <name val="Meiryo"/>
      <family val="0"/>
      <charset val="1"/>
    </font>
    <font>
      <b val="true"/>
      <sz val="8.5"/>
      <color rgb="FF0000FF"/>
      <name val="Meiryo"/>
      <family val="0"/>
      <charset val="1"/>
    </font>
    <font>
      <b val="true"/>
      <sz val="10"/>
      <color rgb="FF6C7A87"/>
      <name val="WenQuanYi Zen Hei"/>
      <family val="2"/>
    </font>
    <font>
      <b val="true"/>
      <sz val="10"/>
      <color rgb="FF6C7A87"/>
      <name val="Meiryo"/>
      <family val="0"/>
      <charset val="1"/>
    </font>
    <font>
      <b val="true"/>
      <sz val="10"/>
      <color rgb="FF1E6B4A"/>
      <name val="Meiryo"/>
      <family val="0"/>
      <charset val="1"/>
    </font>
    <font>
      <b val="true"/>
      <sz val="12"/>
      <color rgb="FFB05A1E"/>
      <name val="Meiryo"/>
      <family val="0"/>
      <charset val="1"/>
    </font>
    <font>
      <sz val="9.5"/>
      <color rgb="FF9E2F27"/>
      <name val="WenQuanYi Zen Hei"/>
      <family val="2"/>
    </font>
    <font>
      <sz val="9.5"/>
      <color rgb="FF1E6B4A"/>
      <name val="WenQuanYi Zen Hei"/>
      <family val="2"/>
    </font>
    <font>
      <sz val="9"/>
      <color rgb="FF1A2430"/>
      <name val="WenQuanYi Zen Hei"/>
      <family val="2"/>
    </font>
    <font>
      <sz val="9"/>
      <color rgb="FF1A2430"/>
      <name val="Meiryo"/>
      <family val="0"/>
      <charset val="1"/>
    </font>
    <font>
      <b val="true"/>
      <sz val="13"/>
      <color rgb="FF1A2430"/>
      <name val="Meiryo"/>
      <family val="0"/>
      <charset val="1"/>
    </font>
    <font>
      <b val="true"/>
      <sz val="11.5"/>
      <color rgb="FF1B3A57"/>
      <name val="Meiryo"/>
      <family val="0"/>
      <charset val="1"/>
    </font>
    <font>
      <b val="true"/>
      <sz val="11.5"/>
      <color rgb="FF1B3A57"/>
      <name val="WenQuanYi Zen Hei"/>
      <family val="2"/>
    </font>
    <font>
      <b val="true"/>
      <sz val="9.5"/>
      <color rgb="FF1A2430"/>
      <name val="WenQuanYi Zen Hei"/>
      <family val="2"/>
    </font>
    <font>
      <b val="true"/>
      <sz val="9.5"/>
      <color rgb="FF1A2430"/>
      <name val="Meiryo"/>
      <family val="0"/>
      <charset val="1"/>
    </font>
    <font>
      <b val="true"/>
      <sz val="11.5"/>
      <color rgb="FF9E2F27"/>
      <name val="Meiryo"/>
      <family val="0"/>
      <charset val="1"/>
    </font>
    <font>
      <b val="true"/>
      <sz val="11.5"/>
      <color rgb="FF9E2F27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FFF6D9"/>
        <bgColor rgb="FFF2F5F7"/>
      </patternFill>
    </fill>
    <fill>
      <patternFill patternType="solid">
        <fgColor rgb="FFDCE6EE"/>
        <bgColor rgb="FFF2F5F7"/>
      </patternFill>
    </fill>
    <fill>
      <patternFill patternType="solid">
        <fgColor rgb="FF1B3A57"/>
        <bgColor rgb="FF1A2430"/>
      </patternFill>
    </fill>
    <fill>
      <patternFill patternType="solid">
        <fgColor rgb="FFF2F5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4DC"/>
      </left>
      <right style="thin">
        <color rgb="FFC9D4DC"/>
      </right>
      <top style="thin">
        <color rgb="FFC9D4DC"/>
      </top>
      <bottom style="thin">
        <color rgb="FFC9D4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7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32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3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3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3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35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0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5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6B4A"/>
      <rgbColor rgb="FFC0C0C0"/>
      <rgbColor rgb="FF6C7A87"/>
      <rgbColor rgb="FF9999FF"/>
      <rgbColor rgb="FFB05A1E"/>
      <rgbColor rgb="FFFFF6D9"/>
      <rgbColor rgb="FFDCE6EE"/>
      <rgbColor rgb="FF660066"/>
      <rgbColor rgb="FFFF8080"/>
      <rgbColor rgb="FF0066CC"/>
      <rgbColor rgb="FFC9D4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5F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A57"/>
      <rgbColor rgb="FF339966"/>
      <rgbColor rgb="FF003300"/>
      <rgbColor rgb="FF333300"/>
      <rgbColor rgb="FF9E2F27"/>
      <rgbColor rgb="FF993366"/>
      <rgbColor rgb="FF333399"/>
      <rgbColor rgb="FF1A24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F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20"/>
    <col collapsed="false" customWidth="true" hidden="false" outlineLevel="0" max="5" min="4" style="0" width="16"/>
    <col collapsed="false" customWidth="true" hidden="false" outlineLevel="0" max="6" min="6" style="0" width="18"/>
    <col collapsed="false" customWidth="true" hidden="false" outlineLevel="0" max="7" min="7" style="0" width="3"/>
  </cols>
  <sheetData>
    <row r="2" customFormat="false" ht="33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8" customFormat="false" ht="18.55" hidden="false" customHeight="false" outlineLevel="0" collapsed="false">
      <c r="B8" s="5" t="s">
        <v>7</v>
      </c>
      <c r="C8" s="5"/>
      <c r="D8" s="5"/>
      <c r="E8" s="6" t="s">
        <v>8</v>
      </c>
      <c r="F8" s="6"/>
    </row>
    <row r="9" customFormat="false" ht="15" hidden="false" customHeight="false" outlineLevel="0" collapsed="false">
      <c r="B9" s="7" t="s">
        <v>9</v>
      </c>
      <c r="C9" s="7"/>
      <c r="D9" s="7"/>
      <c r="E9" s="8" t="s">
        <v>10</v>
      </c>
      <c r="F9" s="9" t="s">
        <v>11</v>
      </c>
    </row>
    <row r="10" customFormat="false" ht="15" hidden="false" customHeight="false" outlineLevel="0" collapsed="false">
      <c r="B10" s="10" t="s">
        <v>12</v>
      </c>
      <c r="C10" s="10"/>
      <c r="D10" s="10"/>
      <c r="E10" s="11" t="s">
        <v>13</v>
      </c>
      <c r="F10" s="9" t="s">
        <v>14</v>
      </c>
    </row>
    <row r="11" customFormat="false" ht="15" hidden="false" customHeight="false" outlineLevel="0" collapsed="false">
      <c r="E11" s="8" t="s">
        <v>15</v>
      </c>
      <c r="F11" s="12" t="s">
        <v>16</v>
      </c>
    </row>
    <row r="12" customFormat="false" ht="15" hidden="false" customHeight="false" outlineLevel="0" collapsed="false">
      <c r="E12" s="8" t="s">
        <v>17</v>
      </c>
      <c r="F12" s="13" t="s">
        <v>18</v>
      </c>
    </row>
    <row r="14" customFormat="false" ht="15" hidden="false" customHeight="false" outlineLevel="0" collapsed="false">
      <c r="B14" s="14" t="s">
        <v>19</v>
      </c>
      <c r="C14" s="14"/>
      <c r="D14" s="14"/>
      <c r="E14" s="14"/>
      <c r="F14" s="14"/>
    </row>
    <row r="16" customFormat="false" ht="31.5" hidden="false" customHeight="true" outlineLevel="0" collapsed="false">
      <c r="B16" s="15" t="s">
        <v>20</v>
      </c>
      <c r="C16" s="16" t="s">
        <v>21</v>
      </c>
      <c r="D16" s="16"/>
      <c r="E16" s="16"/>
      <c r="F16" s="16"/>
    </row>
    <row r="17" customFormat="false" ht="36" hidden="false" customHeight="true" outlineLevel="0" collapsed="false">
      <c r="B17" s="15" t="s">
        <v>22</v>
      </c>
      <c r="C17" s="17" t="n">
        <f aca="false">02_見積明細!F28</f>
        <v>8000000</v>
      </c>
      <c r="D17" s="17"/>
      <c r="E17" s="17"/>
      <c r="F17" s="17"/>
    </row>
    <row r="18" customFormat="false" ht="19.5" hidden="false" customHeight="true" outlineLevel="0" collapsed="false">
      <c r="B18" s="18"/>
      <c r="C18" s="19" t="str">
        <f aca="false">"消費税 ¥"&amp;TEXT(02_見積明細!F29,"#,##0")&amp;"　／　税込 ¥"&amp;TEXT(02_見積明細!F30,"#,##0")</f>
        <v>消費税 ¥800,000　／　税込 ¥8,800,000</v>
      </c>
      <c r="D18" s="19"/>
      <c r="E18" s="19"/>
      <c r="F18" s="19"/>
    </row>
    <row r="20" customFormat="false" ht="42" hidden="false" customHeight="true" outlineLevel="0" collapsed="false">
      <c r="B20" s="15" t="s">
        <v>23</v>
      </c>
      <c r="C20" s="20" t="s">
        <v>24</v>
      </c>
      <c r="D20" s="20"/>
      <c r="E20" s="20"/>
      <c r="F20" s="20"/>
    </row>
    <row r="21" customFormat="false" ht="30" hidden="false" customHeight="true" outlineLevel="0" collapsed="false">
      <c r="B21" s="15" t="s">
        <v>25</v>
      </c>
      <c r="C21" s="20" t="s">
        <v>26</v>
      </c>
      <c r="D21" s="20"/>
      <c r="E21" s="20"/>
      <c r="F21" s="20"/>
    </row>
    <row r="22" customFormat="false" ht="30" hidden="false" customHeight="true" outlineLevel="0" collapsed="false">
      <c r="B22" s="15" t="s">
        <v>27</v>
      </c>
      <c r="C22" s="20" t="s">
        <v>28</v>
      </c>
      <c r="D22" s="20"/>
      <c r="E22" s="20"/>
      <c r="F22" s="20"/>
    </row>
    <row r="23" customFormat="false" ht="30" hidden="false" customHeight="true" outlineLevel="0" collapsed="false">
      <c r="B23" s="15" t="s">
        <v>29</v>
      </c>
      <c r="C23" s="20" t="s">
        <v>30</v>
      </c>
      <c r="D23" s="20"/>
      <c r="E23" s="20"/>
      <c r="F23" s="20"/>
    </row>
    <row r="24" customFormat="false" ht="42" hidden="false" customHeight="true" outlineLevel="0" collapsed="false">
      <c r="B24" s="15" t="s">
        <v>31</v>
      </c>
      <c r="C24" s="20" t="s">
        <v>32</v>
      </c>
      <c r="D24" s="20"/>
      <c r="E24" s="20"/>
      <c r="F24" s="20"/>
    </row>
    <row r="26" customFormat="false" ht="15" hidden="false" customHeight="false" outlineLevel="0" collapsed="false">
      <c r="B26" s="21" t="s">
        <v>33</v>
      </c>
    </row>
    <row r="27" customFormat="false" ht="19.5" hidden="false" customHeight="true" outlineLevel="0" collapsed="false">
      <c r="A27" s="22"/>
      <c r="B27" s="23" t="s">
        <v>34</v>
      </c>
      <c r="C27" s="23" t="s">
        <v>35</v>
      </c>
      <c r="D27" s="23"/>
      <c r="E27" s="23" t="s">
        <v>36</v>
      </c>
      <c r="F27" s="23" t="s">
        <v>37</v>
      </c>
    </row>
    <row r="28" customFormat="false" ht="15" hidden="false" customHeight="false" outlineLevel="0" collapsed="false">
      <c r="B28" s="24" t="s">
        <v>38</v>
      </c>
      <c r="C28" s="25" t="s">
        <v>39</v>
      </c>
      <c r="D28" s="25"/>
      <c r="E28" s="26" t="n">
        <f aca="false">02_見積明細!D20</f>
        <v>100</v>
      </c>
      <c r="F28" s="27" t="n">
        <f aca="false">02_見積明細!F20</f>
        <v>5000000</v>
      </c>
    </row>
    <row r="29" customFormat="false" ht="15" hidden="false" customHeight="false" outlineLevel="0" collapsed="false">
      <c r="B29" s="24" t="s">
        <v>40</v>
      </c>
      <c r="C29" s="25" t="s">
        <v>41</v>
      </c>
      <c r="D29" s="25"/>
      <c r="E29" s="28" t="n">
        <v>10</v>
      </c>
      <c r="F29" s="27" t="n">
        <f aca="false">02_見積明細!F24</f>
        <v>3000000</v>
      </c>
    </row>
    <row r="30" customFormat="false" ht="15" hidden="false" customHeight="false" outlineLevel="0" collapsed="false">
      <c r="B30" s="29" t="s">
        <v>42</v>
      </c>
      <c r="C30" s="30" t="s">
        <v>43</v>
      </c>
      <c r="D30" s="31"/>
      <c r="E30" s="31"/>
      <c r="F30" s="32" t="n">
        <f aca="false">02_見積明細!F26</f>
        <v>8000000</v>
      </c>
    </row>
    <row r="31" customFormat="false" ht="15" hidden="false" customHeight="false" outlineLevel="0" collapsed="false">
      <c r="B31" s="24" t="s">
        <v>44</v>
      </c>
      <c r="C31" s="33" t="s">
        <v>45</v>
      </c>
      <c r="D31" s="34"/>
      <c r="E31" s="34"/>
      <c r="F31" s="35" t="n">
        <f aca="false">02_見積明細!F28</f>
        <v>8000000</v>
      </c>
    </row>
    <row r="32" customFormat="false" ht="15" hidden="false" customHeight="false" outlineLevel="0" collapsed="false">
      <c r="B32" s="24" t="s">
        <v>46</v>
      </c>
      <c r="C32" s="34"/>
      <c r="D32" s="34"/>
      <c r="E32" s="34"/>
      <c r="F32" s="35" t="n">
        <f aca="false">02_見積明細!F29</f>
        <v>800000</v>
      </c>
    </row>
    <row r="33" customFormat="false" ht="21.75" hidden="false" customHeight="true" outlineLevel="0" collapsed="false">
      <c r="B33" s="36" t="s">
        <v>47</v>
      </c>
      <c r="C33" s="37" t="s">
        <v>48</v>
      </c>
      <c r="D33" s="18"/>
      <c r="E33" s="18"/>
      <c r="F33" s="38" t="n">
        <f aca="false">02_見積明細!F30</f>
        <v>8800000</v>
      </c>
    </row>
    <row r="35" customFormat="false" ht="15" hidden="false" customHeight="false" outlineLevel="0" collapsed="false">
      <c r="B35" s="39" t="s">
        <v>49</v>
      </c>
    </row>
    <row r="36" customFormat="false" ht="15" hidden="false" customHeight="false" outlineLevel="0" collapsed="false">
      <c r="B36" s="40" t="s">
        <v>50</v>
      </c>
      <c r="C36" s="40"/>
      <c r="D36" s="40"/>
      <c r="E36" s="40"/>
      <c r="F36" s="40"/>
    </row>
    <row r="37" customFormat="false" ht="15" hidden="false" customHeight="false" outlineLevel="0" collapsed="false">
      <c r="B37" s="40" t="s">
        <v>51</v>
      </c>
      <c r="C37" s="40"/>
      <c r="D37" s="40"/>
      <c r="E37" s="40"/>
      <c r="F37" s="40"/>
    </row>
    <row r="38" customFormat="false" ht="15" hidden="false" customHeight="false" outlineLevel="0" collapsed="false">
      <c r="B38" s="40" t="s">
        <v>52</v>
      </c>
      <c r="C38" s="40"/>
      <c r="D38" s="40"/>
      <c r="E38" s="40"/>
      <c r="F38" s="40"/>
    </row>
  </sheetData>
  <mergeCells count="20">
    <mergeCell ref="B2:F2"/>
    <mergeCell ref="B8:D8"/>
    <mergeCell ref="E8:F8"/>
    <mergeCell ref="B9:D9"/>
    <mergeCell ref="B10:D10"/>
    <mergeCell ref="B14:F14"/>
    <mergeCell ref="C16:F16"/>
    <mergeCell ref="C17:F17"/>
    <mergeCell ref="C18:F18"/>
    <mergeCell ref="C20:F20"/>
    <mergeCell ref="C21:F21"/>
    <mergeCell ref="C22:F22"/>
    <mergeCell ref="C23:F23"/>
    <mergeCell ref="C24:F24"/>
    <mergeCell ref="C27:D27"/>
    <mergeCell ref="C28:D28"/>
    <mergeCell ref="C29:D29"/>
    <mergeCell ref="B36:F36"/>
    <mergeCell ref="B37:F37"/>
    <mergeCell ref="B38:F3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54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14"/>
  </cols>
  <sheetData>
    <row r="1" customFormat="false" ht="24" hidden="false" customHeight="true" outlineLevel="0" collapsed="false">
      <c r="A1" s="41" t="s">
        <v>53</v>
      </c>
    </row>
    <row r="2" customFormat="false" ht="15" hidden="false" customHeight="false" outlineLevel="0" collapsed="false">
      <c r="A2" s="42" t="s">
        <v>54</v>
      </c>
    </row>
    <row r="4" customFormat="false" ht="15" hidden="false" customHeight="false" outlineLevel="0" collapsed="false">
      <c r="A4" s="43" t="s">
        <v>55</v>
      </c>
      <c r="B4" s="43"/>
      <c r="C4" s="44" t="n">
        <v>50000</v>
      </c>
      <c r="D4" s="33" t="s">
        <v>56</v>
      </c>
    </row>
    <row r="6" customFormat="false" ht="21.75" hidden="false" customHeight="true" outlineLevel="0" collapsed="false">
      <c r="A6" s="23" t="s">
        <v>34</v>
      </c>
      <c r="B6" s="23" t="s">
        <v>57</v>
      </c>
      <c r="C6" s="23" t="s">
        <v>35</v>
      </c>
      <c r="D6" s="23" t="s">
        <v>36</v>
      </c>
      <c r="E6" s="23" t="s">
        <v>58</v>
      </c>
      <c r="F6" s="23" t="s">
        <v>59</v>
      </c>
    </row>
    <row r="7" customFormat="false" ht="14.15" hidden="false" customHeight="false" outlineLevel="0" collapsed="false">
      <c r="A7" s="45" t="s">
        <v>60</v>
      </c>
      <c r="B7" s="45"/>
      <c r="C7" s="45"/>
      <c r="D7" s="45"/>
      <c r="E7" s="45"/>
      <c r="F7" s="45"/>
    </row>
    <row r="8" customFormat="false" ht="30" hidden="false" customHeight="true" outlineLevel="0" collapsed="false">
      <c r="A8" s="46" t="s">
        <v>61</v>
      </c>
      <c r="B8" s="47" t="s">
        <v>62</v>
      </c>
      <c r="C8" s="48" t="s">
        <v>63</v>
      </c>
      <c r="D8" s="49" t="n">
        <v>8</v>
      </c>
      <c r="E8" s="27" t="n">
        <f aca="false">$C$4</f>
        <v>50000</v>
      </c>
      <c r="F8" s="27" t="n">
        <f aca="false">D8*E8</f>
        <v>400000</v>
      </c>
    </row>
    <row r="9" customFormat="false" ht="30" hidden="false" customHeight="true" outlineLevel="0" collapsed="false">
      <c r="A9" s="46" t="s">
        <v>61</v>
      </c>
      <c r="B9" s="50" t="s">
        <v>64</v>
      </c>
      <c r="C9" s="51" t="s">
        <v>65</v>
      </c>
      <c r="D9" s="49" t="n">
        <v>7</v>
      </c>
      <c r="E9" s="27" t="n">
        <f aca="false">$C$4</f>
        <v>50000</v>
      </c>
      <c r="F9" s="27" t="n">
        <f aca="false">D9*E9</f>
        <v>350000</v>
      </c>
    </row>
    <row r="10" customFormat="false" ht="30" hidden="false" customHeight="true" outlineLevel="0" collapsed="false">
      <c r="A10" s="46" t="s">
        <v>61</v>
      </c>
      <c r="B10" s="47" t="s">
        <v>66</v>
      </c>
      <c r="C10" s="51" t="s">
        <v>67</v>
      </c>
      <c r="D10" s="49" t="n">
        <v>12</v>
      </c>
      <c r="E10" s="27" t="n">
        <f aca="false">$C$4</f>
        <v>50000</v>
      </c>
      <c r="F10" s="27" t="n">
        <f aca="false">D10*E10</f>
        <v>600000</v>
      </c>
    </row>
    <row r="11" customFormat="false" ht="30" hidden="false" customHeight="true" outlineLevel="0" collapsed="false">
      <c r="A11" s="46" t="s">
        <v>61</v>
      </c>
      <c r="B11" s="47" t="s">
        <v>68</v>
      </c>
      <c r="C11" s="51" t="s">
        <v>69</v>
      </c>
      <c r="D11" s="49" t="n">
        <v>15</v>
      </c>
      <c r="E11" s="27" t="n">
        <f aca="false">$C$4</f>
        <v>50000</v>
      </c>
      <c r="F11" s="27" t="n">
        <f aca="false">D11*E11</f>
        <v>750000</v>
      </c>
    </row>
    <row r="12" customFormat="false" ht="30" hidden="false" customHeight="true" outlineLevel="0" collapsed="false">
      <c r="A12" s="46" t="s">
        <v>61</v>
      </c>
      <c r="B12" s="47" t="s">
        <v>70</v>
      </c>
      <c r="C12" s="48" t="s">
        <v>71</v>
      </c>
      <c r="D12" s="49" t="n">
        <v>11</v>
      </c>
      <c r="E12" s="27" t="n">
        <f aca="false">$C$4</f>
        <v>50000</v>
      </c>
      <c r="F12" s="27" t="n">
        <f aca="false">D12*E12</f>
        <v>550000</v>
      </c>
    </row>
    <row r="13" customFormat="false" ht="30" hidden="false" customHeight="true" outlineLevel="0" collapsed="false">
      <c r="A13" s="46" t="s">
        <v>61</v>
      </c>
      <c r="B13" s="50" t="s">
        <v>72</v>
      </c>
      <c r="C13" s="51" t="s">
        <v>73</v>
      </c>
      <c r="D13" s="49" t="n">
        <v>3</v>
      </c>
      <c r="E13" s="27" t="n">
        <f aca="false">$C$4</f>
        <v>50000</v>
      </c>
      <c r="F13" s="27" t="n">
        <f aca="false">D13*E13</f>
        <v>150000</v>
      </c>
    </row>
    <row r="14" customFormat="false" ht="30" hidden="false" customHeight="true" outlineLevel="0" collapsed="false">
      <c r="A14" s="46" t="s">
        <v>61</v>
      </c>
      <c r="B14" s="47" t="s">
        <v>74</v>
      </c>
      <c r="C14" s="51" t="s">
        <v>75</v>
      </c>
      <c r="D14" s="49" t="n">
        <v>11</v>
      </c>
      <c r="E14" s="27" t="n">
        <f aca="false">$C$4</f>
        <v>50000</v>
      </c>
      <c r="F14" s="27" t="n">
        <f aca="false">D14*E14</f>
        <v>550000</v>
      </c>
    </row>
    <row r="15" customFormat="false" ht="30" hidden="false" customHeight="true" outlineLevel="0" collapsed="false">
      <c r="A15" s="46" t="s">
        <v>61</v>
      </c>
      <c r="B15" s="47" t="s">
        <v>76</v>
      </c>
      <c r="C15" s="48" t="s">
        <v>77</v>
      </c>
      <c r="D15" s="49" t="n">
        <v>7</v>
      </c>
      <c r="E15" s="27" t="n">
        <f aca="false">$C$4</f>
        <v>50000</v>
      </c>
      <c r="F15" s="27" t="n">
        <f aca="false">D15*E15</f>
        <v>350000</v>
      </c>
    </row>
    <row r="16" customFormat="false" ht="30" hidden="false" customHeight="true" outlineLevel="0" collapsed="false">
      <c r="A16" s="46" t="s">
        <v>61</v>
      </c>
      <c r="B16" s="47" t="s">
        <v>78</v>
      </c>
      <c r="C16" s="48" t="s">
        <v>79</v>
      </c>
      <c r="D16" s="49" t="n">
        <v>7</v>
      </c>
      <c r="E16" s="27" t="n">
        <f aca="false">$C$4</f>
        <v>50000</v>
      </c>
      <c r="F16" s="27" t="n">
        <f aca="false">D16*E16</f>
        <v>350000</v>
      </c>
    </row>
    <row r="17" customFormat="false" ht="30" hidden="false" customHeight="true" outlineLevel="0" collapsed="false">
      <c r="A17" s="46" t="s">
        <v>61</v>
      </c>
      <c r="B17" s="47" t="s">
        <v>80</v>
      </c>
      <c r="C17" s="48" t="s">
        <v>81</v>
      </c>
      <c r="D17" s="49" t="n">
        <v>9</v>
      </c>
      <c r="E17" s="27" t="n">
        <f aca="false">$C$4</f>
        <v>50000</v>
      </c>
      <c r="F17" s="27" t="n">
        <f aca="false">D17*E17</f>
        <v>450000</v>
      </c>
    </row>
    <row r="18" customFormat="false" ht="30" hidden="false" customHeight="true" outlineLevel="0" collapsed="false">
      <c r="A18" s="46" t="s">
        <v>61</v>
      </c>
      <c r="B18" s="47" t="s">
        <v>82</v>
      </c>
      <c r="C18" s="48" t="s">
        <v>83</v>
      </c>
      <c r="D18" s="49" t="n">
        <v>4</v>
      </c>
      <c r="E18" s="27" t="n">
        <f aca="false">$C$4</f>
        <v>50000</v>
      </c>
      <c r="F18" s="27" t="n">
        <f aca="false">D18*E18</f>
        <v>200000</v>
      </c>
    </row>
    <row r="19" customFormat="false" ht="30" hidden="false" customHeight="true" outlineLevel="0" collapsed="false">
      <c r="A19" s="46" t="s">
        <v>61</v>
      </c>
      <c r="B19" s="47" t="s">
        <v>84</v>
      </c>
      <c r="C19" s="48" t="s">
        <v>85</v>
      </c>
      <c r="D19" s="49" t="n">
        <v>6</v>
      </c>
      <c r="E19" s="27" t="n">
        <f aca="false">$C$4</f>
        <v>50000</v>
      </c>
      <c r="F19" s="27" t="n">
        <f aca="false">D19*E19</f>
        <v>300000</v>
      </c>
    </row>
    <row r="20" customFormat="false" ht="15" hidden="false" customHeight="false" outlineLevel="0" collapsed="false">
      <c r="A20" s="31"/>
      <c r="B20" s="52" t="s">
        <v>86</v>
      </c>
      <c r="C20" s="31"/>
      <c r="D20" s="53" t="n">
        <f aca="false">SUM(D8:D19)</f>
        <v>100</v>
      </c>
      <c r="E20" s="31"/>
      <c r="F20" s="32" t="n">
        <f aca="false">SUM(F8:F19)</f>
        <v>5000000</v>
      </c>
    </row>
    <row r="22" customFormat="false" ht="14.15" hidden="false" customHeight="false" outlineLevel="0" collapsed="false">
      <c r="A22" s="45" t="s">
        <v>87</v>
      </c>
      <c r="B22" s="45"/>
      <c r="C22" s="45"/>
      <c r="D22" s="45"/>
      <c r="E22" s="45"/>
      <c r="F22" s="45"/>
    </row>
    <row r="23" customFormat="false" ht="36" hidden="false" customHeight="true" outlineLevel="0" collapsed="false">
      <c r="A23" s="46" t="s">
        <v>88</v>
      </c>
      <c r="B23" s="47" t="s">
        <v>89</v>
      </c>
      <c r="C23" s="51" t="s">
        <v>90</v>
      </c>
      <c r="D23" s="54" t="n">
        <v>10</v>
      </c>
      <c r="E23" s="55" t="n">
        <f aca="false">03_教材科目!$C$4</f>
        <v>300000</v>
      </c>
      <c r="F23" s="27" t="n">
        <f aca="false">03_教材科目!$F$17</f>
        <v>3000000</v>
      </c>
    </row>
    <row r="24" customFormat="false" ht="15" hidden="false" customHeight="false" outlineLevel="0" collapsed="false">
      <c r="A24" s="31"/>
      <c r="B24" s="52" t="s">
        <v>91</v>
      </c>
      <c r="C24" s="31"/>
      <c r="D24" s="31"/>
      <c r="E24" s="31"/>
      <c r="F24" s="32" t="n">
        <f aca="false">F23</f>
        <v>3000000</v>
      </c>
    </row>
    <row r="26" customFormat="false" ht="15" hidden="false" customHeight="false" outlineLevel="0" collapsed="false">
      <c r="A26" s="18"/>
      <c r="B26" s="56" t="s">
        <v>92</v>
      </c>
      <c r="C26" s="18"/>
      <c r="D26" s="57" t="n">
        <f aca="false">D20</f>
        <v>100</v>
      </c>
      <c r="E26" s="18"/>
      <c r="F26" s="38" t="n">
        <f aca="false">F20+F24</f>
        <v>8000000</v>
      </c>
    </row>
    <row r="27" customFormat="false" ht="15" hidden="false" customHeight="false" outlineLevel="0" collapsed="false">
      <c r="B27" s="58" t="s">
        <v>93</v>
      </c>
      <c r="C27" s="33" t="s">
        <v>94</v>
      </c>
      <c r="D27" s="34"/>
      <c r="E27" s="34"/>
      <c r="F27" s="44" t="n">
        <v>0</v>
      </c>
    </row>
    <row r="28" customFormat="false" ht="15" hidden="false" customHeight="false" outlineLevel="0" collapsed="false">
      <c r="B28" s="58" t="s">
        <v>95</v>
      </c>
      <c r="C28" s="34"/>
      <c r="D28" s="34"/>
      <c r="E28" s="34"/>
      <c r="F28" s="35" t="n">
        <f aca="false">F26+F27</f>
        <v>8000000</v>
      </c>
    </row>
    <row r="29" customFormat="false" ht="15" hidden="false" customHeight="false" outlineLevel="0" collapsed="false">
      <c r="B29" s="58" t="s">
        <v>46</v>
      </c>
      <c r="C29" s="33" t="s">
        <v>96</v>
      </c>
      <c r="D29" s="59" t="n">
        <v>0.1</v>
      </c>
      <c r="E29" s="34"/>
      <c r="F29" s="35" t="n">
        <f aca="false">ROUND(F28*D29,0)</f>
        <v>800000</v>
      </c>
    </row>
    <row r="30" customFormat="false" ht="24" hidden="false" customHeight="true" outlineLevel="0" collapsed="false">
      <c r="A30" s="18"/>
      <c r="B30" s="60" t="s">
        <v>97</v>
      </c>
      <c r="C30" s="18"/>
      <c r="D30" s="18"/>
      <c r="E30" s="18"/>
      <c r="F30" s="61" t="n">
        <f aca="false">F28+F29</f>
        <v>8800000</v>
      </c>
    </row>
    <row r="32" customFormat="false" ht="15" hidden="false" customHeight="false" outlineLevel="0" collapsed="false">
      <c r="A32" s="62" t="s">
        <v>98</v>
      </c>
    </row>
    <row r="33" customFormat="false" ht="15" hidden="false" customHeight="false" outlineLevel="0" collapsed="false">
      <c r="A33" s="63" t="s">
        <v>99</v>
      </c>
    </row>
    <row r="34" customFormat="false" ht="15" hidden="false" customHeight="false" outlineLevel="0" collapsed="false">
      <c r="A34" s="63" t="s">
        <v>100</v>
      </c>
    </row>
    <row r="35" customFormat="false" ht="15" hidden="false" customHeight="false" outlineLevel="0" collapsed="false">
      <c r="A35" s="63" t="s">
        <v>101</v>
      </c>
    </row>
    <row r="36" customFormat="false" ht="15" hidden="false" customHeight="false" outlineLevel="0" collapsed="false">
      <c r="A36" s="63"/>
    </row>
    <row r="37" customFormat="false" ht="15" hidden="false" customHeight="false" outlineLevel="0" collapsed="false">
      <c r="A37" s="62" t="s">
        <v>102</v>
      </c>
    </row>
    <row r="38" customFormat="false" ht="15" hidden="false" customHeight="false" outlineLevel="0" collapsed="false">
      <c r="A38" s="63" t="s">
        <v>103</v>
      </c>
    </row>
    <row r="39" customFormat="false" ht="15" hidden="false" customHeight="false" outlineLevel="0" collapsed="false">
      <c r="A39" s="63" t="s">
        <v>104</v>
      </c>
    </row>
    <row r="40" customFormat="false" ht="15" hidden="false" customHeight="false" outlineLevel="0" collapsed="false">
      <c r="A40" s="63" t="s">
        <v>105</v>
      </c>
    </row>
    <row r="41" customFormat="false" ht="15" hidden="false" customHeight="false" outlineLevel="0" collapsed="false">
      <c r="A41" s="63" t="s">
        <v>106</v>
      </c>
    </row>
    <row r="42" customFormat="false" ht="15" hidden="false" customHeight="false" outlineLevel="0" collapsed="false">
      <c r="A42" s="63" t="s">
        <v>107</v>
      </c>
    </row>
    <row r="43" customFormat="false" ht="15" hidden="false" customHeight="false" outlineLevel="0" collapsed="false">
      <c r="A43" s="63" t="s">
        <v>108</v>
      </c>
    </row>
    <row r="44" customFormat="false" ht="15" hidden="false" customHeight="false" outlineLevel="0" collapsed="false">
      <c r="A44" s="63"/>
    </row>
    <row r="45" customFormat="false" ht="15" hidden="false" customHeight="false" outlineLevel="0" collapsed="false">
      <c r="A45" s="62" t="s">
        <v>109</v>
      </c>
    </row>
    <row r="46" customFormat="false" ht="15" hidden="false" customHeight="false" outlineLevel="0" collapsed="false">
      <c r="A46" s="63" t="s">
        <v>110</v>
      </c>
    </row>
  </sheetData>
  <mergeCells count="3">
    <mergeCell ref="A4:B4"/>
    <mergeCell ref="A7:F7"/>
    <mergeCell ref="A22:F22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8"/>
    <col collapsed="false" customWidth="true" hidden="false" outlineLevel="0" max="4" min="4" style="0" width="26"/>
    <col collapsed="false" customWidth="true" hidden="false" outlineLevel="0" max="5" min="5" style="0" width="9"/>
    <col collapsed="false" customWidth="true" hidden="false" outlineLevel="0" max="6" min="6" style="0" width="14"/>
  </cols>
  <sheetData>
    <row r="1" customFormat="false" ht="24" hidden="false" customHeight="true" outlineLevel="0" collapsed="false">
      <c r="A1" s="64" t="s">
        <v>111</v>
      </c>
    </row>
    <row r="2" customFormat="false" ht="15" hidden="false" customHeight="false" outlineLevel="0" collapsed="false">
      <c r="A2" s="42" t="s">
        <v>112</v>
      </c>
    </row>
    <row r="4" customFormat="false" ht="15" hidden="false" customHeight="false" outlineLevel="0" collapsed="false">
      <c r="A4" s="43" t="s">
        <v>113</v>
      </c>
      <c r="B4" s="43"/>
      <c r="C4" s="44" t="n">
        <v>300000</v>
      </c>
      <c r="D4" s="33" t="s">
        <v>114</v>
      </c>
    </row>
    <row r="6" customFormat="false" ht="30" hidden="false" customHeight="true" outlineLevel="0" collapsed="false">
      <c r="A6" s="23" t="s">
        <v>115</v>
      </c>
      <c r="B6" s="23" t="s">
        <v>116</v>
      </c>
      <c r="C6" s="23" t="s">
        <v>117</v>
      </c>
      <c r="D6" s="23" t="s">
        <v>118</v>
      </c>
      <c r="E6" s="23" t="s">
        <v>119</v>
      </c>
      <c r="F6" s="23" t="s">
        <v>120</v>
      </c>
    </row>
    <row r="7" customFormat="false" ht="25.5" hidden="false" customHeight="true" outlineLevel="0" collapsed="false">
      <c r="A7" s="65" t="n">
        <v>1</v>
      </c>
      <c r="B7" s="16" t="s">
        <v>121</v>
      </c>
      <c r="C7" s="66" t="n">
        <v>4.5</v>
      </c>
      <c r="D7" s="48" t="s">
        <v>122</v>
      </c>
      <c r="E7" s="67" t="n">
        <v>2</v>
      </c>
      <c r="F7" s="27" t="n">
        <f aca="false">$C$4</f>
        <v>300000</v>
      </c>
    </row>
    <row r="8" customFormat="false" ht="25.5" hidden="false" customHeight="true" outlineLevel="0" collapsed="false">
      <c r="A8" s="65" t="n">
        <v>2</v>
      </c>
      <c r="B8" s="16" t="s">
        <v>123</v>
      </c>
      <c r="C8" s="66" t="n">
        <v>6</v>
      </c>
      <c r="D8" s="48" t="s">
        <v>124</v>
      </c>
      <c r="E8" s="67" t="n">
        <v>1</v>
      </c>
      <c r="F8" s="27" t="n">
        <f aca="false">$C$4</f>
        <v>300000</v>
      </c>
    </row>
    <row r="9" customFormat="false" ht="25.5" hidden="false" customHeight="true" outlineLevel="0" collapsed="false">
      <c r="A9" s="65" t="n">
        <v>3</v>
      </c>
      <c r="B9" s="16" t="s">
        <v>125</v>
      </c>
      <c r="C9" s="66" t="n">
        <v>4</v>
      </c>
      <c r="D9" s="48" t="s">
        <v>126</v>
      </c>
      <c r="E9" s="67" t="n">
        <v>3</v>
      </c>
      <c r="F9" s="27" t="n">
        <f aca="false">$C$4</f>
        <v>300000</v>
      </c>
    </row>
    <row r="10" customFormat="false" ht="25.5" hidden="false" customHeight="true" outlineLevel="0" collapsed="false">
      <c r="A10" s="65" t="n">
        <v>4</v>
      </c>
      <c r="B10" s="16" t="s">
        <v>127</v>
      </c>
      <c r="C10" s="66" t="n">
        <v>7</v>
      </c>
      <c r="D10" s="48" t="s">
        <v>128</v>
      </c>
      <c r="E10" s="67" t="n">
        <v>3</v>
      </c>
      <c r="F10" s="27" t="n">
        <f aca="false">$C$4</f>
        <v>300000</v>
      </c>
    </row>
    <row r="11" customFormat="false" ht="25.5" hidden="false" customHeight="true" outlineLevel="0" collapsed="false">
      <c r="A11" s="65" t="n">
        <v>5</v>
      </c>
      <c r="B11" s="16" t="s">
        <v>129</v>
      </c>
      <c r="C11" s="66" t="n">
        <v>11</v>
      </c>
      <c r="D11" s="48" t="s">
        <v>130</v>
      </c>
      <c r="E11" s="67" t="n">
        <v>1</v>
      </c>
      <c r="F11" s="27" t="n">
        <f aca="false">$C$4</f>
        <v>300000</v>
      </c>
    </row>
    <row r="12" customFormat="false" ht="25.5" hidden="false" customHeight="true" outlineLevel="0" collapsed="false">
      <c r="A12" s="65" t="n">
        <v>6</v>
      </c>
      <c r="B12" s="16" t="s">
        <v>131</v>
      </c>
      <c r="C12" s="66" t="n">
        <v>4.5</v>
      </c>
      <c r="D12" s="48" t="s">
        <v>132</v>
      </c>
      <c r="E12" s="67" t="n">
        <v>1</v>
      </c>
      <c r="F12" s="27" t="n">
        <f aca="false">$C$4</f>
        <v>300000</v>
      </c>
    </row>
    <row r="13" customFormat="false" ht="25.5" hidden="false" customHeight="true" outlineLevel="0" collapsed="false">
      <c r="A13" s="65" t="n">
        <v>7</v>
      </c>
      <c r="B13" s="16" t="s">
        <v>133</v>
      </c>
      <c r="C13" s="66" t="n">
        <v>4.5</v>
      </c>
      <c r="D13" s="48" t="s">
        <v>134</v>
      </c>
      <c r="E13" s="67" t="n">
        <v>2</v>
      </c>
      <c r="F13" s="27" t="n">
        <f aca="false">$C$4</f>
        <v>300000</v>
      </c>
    </row>
    <row r="14" customFormat="false" ht="25.5" hidden="false" customHeight="true" outlineLevel="0" collapsed="false">
      <c r="A14" s="65" t="n">
        <v>8</v>
      </c>
      <c r="B14" s="16" t="s">
        <v>135</v>
      </c>
      <c r="C14" s="66" t="n">
        <v>5.5</v>
      </c>
      <c r="D14" s="48" t="s">
        <v>136</v>
      </c>
      <c r="E14" s="67" t="n">
        <v>2</v>
      </c>
      <c r="F14" s="27" t="n">
        <f aca="false">$C$4</f>
        <v>300000</v>
      </c>
    </row>
    <row r="15" customFormat="false" ht="25.5" hidden="false" customHeight="true" outlineLevel="0" collapsed="false">
      <c r="A15" s="65" t="n">
        <v>9</v>
      </c>
      <c r="B15" s="16" t="s">
        <v>137</v>
      </c>
      <c r="C15" s="66" t="n">
        <v>6</v>
      </c>
      <c r="D15" s="48" t="s">
        <v>138</v>
      </c>
      <c r="E15" s="67" t="n">
        <v>2</v>
      </c>
      <c r="F15" s="27" t="n">
        <f aca="false">$C$4</f>
        <v>300000</v>
      </c>
    </row>
    <row r="16" customFormat="false" ht="25.5" hidden="false" customHeight="true" outlineLevel="0" collapsed="false">
      <c r="A16" s="65" t="n">
        <v>10</v>
      </c>
      <c r="B16" s="16" t="s">
        <v>139</v>
      </c>
      <c r="C16" s="66" t="n">
        <v>5</v>
      </c>
      <c r="D16" s="48" t="s">
        <v>140</v>
      </c>
      <c r="E16" s="67" t="n">
        <v>3</v>
      </c>
      <c r="F16" s="27" t="n">
        <f aca="false">$C$4</f>
        <v>300000</v>
      </c>
    </row>
    <row r="17" customFormat="false" ht="15" hidden="false" customHeight="false" outlineLevel="0" collapsed="false">
      <c r="A17" s="18"/>
      <c r="B17" s="43" t="s">
        <v>141</v>
      </c>
      <c r="C17" s="68" t="n">
        <f aca="false">SUM(C7:C16)</f>
        <v>58</v>
      </c>
      <c r="D17" s="18"/>
      <c r="E17" s="18"/>
      <c r="F17" s="69" t="n">
        <f aca="false">SUM(F7:F16)</f>
        <v>3000000</v>
      </c>
    </row>
    <row r="19" customFormat="false" ht="15" hidden="false" customHeight="false" outlineLevel="0" collapsed="false">
      <c r="A19" s="62" t="s">
        <v>142</v>
      </c>
    </row>
    <row r="20" customFormat="false" ht="15" hidden="false" customHeight="false" outlineLevel="0" collapsed="false">
      <c r="A20" s="63" t="s">
        <v>143</v>
      </c>
    </row>
    <row r="21" customFormat="false" ht="15" hidden="false" customHeight="false" outlineLevel="0" collapsed="false">
      <c r="A21" s="63" t="s">
        <v>144</v>
      </c>
    </row>
    <row r="22" customFormat="false" ht="15" hidden="false" customHeight="false" outlineLevel="0" collapsed="false">
      <c r="A22" s="63" t="s">
        <v>145</v>
      </c>
    </row>
    <row r="23" customFormat="false" ht="15" hidden="false" customHeight="false" outlineLevel="0" collapsed="false">
      <c r="A23" s="63"/>
    </row>
    <row r="24" customFormat="false" ht="15" hidden="false" customHeight="false" outlineLevel="0" collapsed="false">
      <c r="A24" s="62" t="s">
        <v>146</v>
      </c>
    </row>
    <row r="25" customFormat="false" ht="15" hidden="false" customHeight="false" outlineLevel="0" collapsed="false">
      <c r="A25" s="63" t="s">
        <v>147</v>
      </c>
    </row>
    <row r="26" customFormat="false" ht="15" hidden="false" customHeight="false" outlineLevel="0" collapsed="false">
      <c r="A26" s="63" t="s">
        <v>148</v>
      </c>
    </row>
    <row r="27" customFormat="false" ht="15" hidden="false" customHeight="false" outlineLevel="0" collapsed="false">
      <c r="A27" s="63" t="s">
        <v>149</v>
      </c>
    </row>
  </sheetData>
  <mergeCells count="1">
    <mergeCell ref="A4:B4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66"/>
  </cols>
  <sheetData>
    <row r="1" customFormat="false" ht="24" hidden="false" customHeight="true" outlineLevel="0" collapsed="false">
      <c r="A1" s="41" t="s">
        <v>150</v>
      </c>
    </row>
    <row r="2" customFormat="false" ht="15" hidden="false" customHeight="false" outlineLevel="0" collapsed="false">
      <c r="A2" s="42" t="s">
        <v>151</v>
      </c>
    </row>
    <row r="4" customFormat="false" ht="21.75" hidden="false" customHeight="true" outlineLevel="0" collapsed="false">
      <c r="A4" s="23" t="s">
        <v>34</v>
      </c>
      <c r="B4" s="23" t="s">
        <v>57</v>
      </c>
      <c r="C4" s="23" t="s">
        <v>152</v>
      </c>
      <c r="D4" s="23" t="s">
        <v>35</v>
      </c>
    </row>
    <row r="5" customFormat="false" ht="31.5" hidden="false" customHeight="true" outlineLevel="0" collapsed="false">
      <c r="A5" s="70" t="s">
        <v>153</v>
      </c>
      <c r="B5" s="58" t="s">
        <v>154</v>
      </c>
      <c r="C5" s="44" t="n">
        <v>80000</v>
      </c>
      <c r="D5" s="20" t="s">
        <v>155</v>
      </c>
    </row>
    <row r="6" customFormat="false" ht="42" hidden="false" customHeight="true" outlineLevel="0" collapsed="false">
      <c r="A6" s="31"/>
      <c r="B6" s="58" t="s">
        <v>156</v>
      </c>
      <c r="C6" s="44" t="n">
        <v>20000</v>
      </c>
      <c r="D6" s="20" t="s">
        <v>157</v>
      </c>
    </row>
    <row r="7" customFormat="false" ht="15" hidden="false" customHeight="false" outlineLevel="0" collapsed="false">
      <c r="A7" s="18"/>
      <c r="B7" s="43" t="s">
        <v>158</v>
      </c>
      <c r="C7" s="38" t="n">
        <f aca="false">SUM(C5:C6)</f>
        <v>100000</v>
      </c>
      <c r="D7" s="18"/>
    </row>
    <row r="9" customFormat="false" ht="42" hidden="false" customHeight="true" outlineLevel="0" collapsed="false">
      <c r="A9" s="70" t="s">
        <v>159</v>
      </c>
      <c r="B9" s="71" t="s">
        <v>160</v>
      </c>
      <c r="C9" s="44" t="n">
        <v>22800</v>
      </c>
      <c r="D9" s="72" t="s">
        <v>161</v>
      </c>
    </row>
    <row r="10" customFormat="false" ht="31.5" hidden="false" customHeight="true" outlineLevel="0" collapsed="false">
      <c r="A10" s="31"/>
      <c r="B10" s="58" t="s">
        <v>162</v>
      </c>
      <c r="C10" s="73" t="s">
        <v>163</v>
      </c>
      <c r="D10" s="20" t="s">
        <v>164</v>
      </c>
    </row>
    <row r="11" customFormat="false" ht="15" hidden="false" customHeight="false" outlineLevel="0" collapsed="false">
      <c r="A11" s="31"/>
      <c r="B11" s="58" t="s">
        <v>165</v>
      </c>
      <c r="C11" s="73" t="s">
        <v>166</v>
      </c>
      <c r="D11" s="20" t="s">
        <v>167</v>
      </c>
    </row>
    <row r="13" customFormat="false" ht="31.5" hidden="false" customHeight="true" outlineLevel="0" collapsed="false">
      <c r="A13" s="70" t="s">
        <v>168</v>
      </c>
      <c r="B13" s="58" t="s">
        <v>169</v>
      </c>
      <c r="C13" s="74" t="n">
        <f aca="false">03_教材科目!C4</f>
        <v>300000</v>
      </c>
      <c r="D13" s="72" t="s">
        <v>170</v>
      </c>
    </row>
    <row r="15" customFormat="false" ht="15" hidden="false" customHeight="false" outlineLevel="0" collapsed="false">
      <c r="A15" s="21" t="s">
        <v>171</v>
      </c>
    </row>
    <row r="16" customFormat="false" ht="15" hidden="false" customHeight="false" outlineLevel="0" collapsed="false">
      <c r="B16" s="58" t="s">
        <v>172</v>
      </c>
      <c r="C16" s="75" t="n">
        <f aca="false">04_月額・別途費用!C7+C9</f>
        <v>122800</v>
      </c>
      <c r="D16" s="33" t="s">
        <v>173</v>
      </c>
    </row>
    <row r="18" customFormat="false" ht="15" hidden="false" customHeight="false" outlineLevel="0" collapsed="false">
      <c r="A18" s="62" t="s">
        <v>174</v>
      </c>
    </row>
    <row r="19" customFormat="false" ht="15" hidden="false" customHeight="false" outlineLevel="0" collapsed="false">
      <c r="A19" s="63" t="s">
        <v>175</v>
      </c>
    </row>
    <row r="20" customFormat="false" ht="15" hidden="false" customHeight="false" outlineLevel="0" collapsed="false">
      <c r="A20" s="63" t="s">
        <v>176</v>
      </c>
    </row>
    <row r="21" customFormat="false" ht="15" hidden="false" customHeight="false" outlineLevel="0" collapsed="false">
      <c r="A21" s="63" t="s">
        <v>177</v>
      </c>
    </row>
    <row r="22" customFormat="false" ht="15" hidden="false" customHeight="false" outlineLevel="0" collapsed="false">
      <c r="A22" s="63" t="s">
        <v>178</v>
      </c>
    </row>
    <row r="23" customFormat="false" ht="15" hidden="false" customHeight="false" outlineLevel="0" collapsed="false">
      <c r="A23" s="63"/>
    </row>
    <row r="24" customFormat="false" ht="15" hidden="false" customHeight="false" outlineLevel="0" collapsed="false">
      <c r="A24" s="62" t="s">
        <v>179</v>
      </c>
    </row>
    <row r="25" customFormat="false" ht="15" hidden="false" customHeight="false" outlineLevel="0" collapsed="false">
      <c r="A25" s="63" t="s">
        <v>180</v>
      </c>
    </row>
    <row r="26" customFormat="false" ht="15" hidden="false" customHeight="false" outlineLevel="0" collapsed="false">
      <c r="A26" s="76" t="s">
        <v>181</v>
      </c>
    </row>
    <row r="27" customFormat="false" ht="15" hidden="false" customHeight="false" outlineLevel="0" collapsed="false">
      <c r="A27" s="63" t="s">
        <v>182</v>
      </c>
    </row>
    <row r="28" customFormat="false" ht="15" hidden="false" customHeight="false" outlineLevel="0" collapsed="false">
      <c r="A28" s="63" t="s">
        <v>183</v>
      </c>
    </row>
    <row r="29" customFormat="false" ht="15" hidden="false" customHeight="false" outlineLevel="0" collapsed="false">
      <c r="A29" s="76" t="s">
        <v>184</v>
      </c>
    </row>
    <row r="30" customFormat="false" ht="15" hidden="false" customHeight="false" outlineLevel="0" collapsed="false">
      <c r="A30" s="63"/>
    </row>
    <row r="31" customFormat="false" ht="15" hidden="false" customHeight="false" outlineLevel="0" collapsed="false">
      <c r="A31" s="77" t="s">
        <v>185</v>
      </c>
    </row>
    <row r="32" customFormat="false" ht="15" hidden="false" customHeight="false" outlineLevel="0" collapsed="false">
      <c r="A32" s="63" t="s">
        <v>186</v>
      </c>
    </row>
    <row r="33" customFormat="false" ht="15" hidden="false" customHeight="false" outlineLevel="0" collapsed="false">
      <c r="A33" s="63" t="s">
        <v>187</v>
      </c>
    </row>
    <row r="34" customFormat="false" ht="15" hidden="false" customHeight="false" outlineLevel="0" collapsed="false">
      <c r="A34" s="63" t="s">
        <v>188</v>
      </c>
    </row>
    <row r="35" customFormat="false" ht="15" hidden="false" customHeight="false" outlineLevel="0" collapsed="false">
      <c r="A35" s="78" t="s">
        <v>189</v>
      </c>
    </row>
    <row r="36" customFormat="false" ht="15" hidden="false" customHeight="false" outlineLevel="0" collapsed="false">
      <c r="A36" s="63" t="s">
        <v>190</v>
      </c>
    </row>
  </sheetData>
  <printOptions headings="false" gridLines="false" gridLinesSet="true" horizontalCentered="true" verticalCentered="false"/>
  <pageMargins left="0.5" right="0.5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3"/>
  </cols>
  <sheetData>
    <row r="2" customFormat="false" ht="33.75" hidden="false" customHeight="true" outlineLevel="0" collapsed="false">
      <c r="B2" s="1" t="s">
        <v>191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192</v>
      </c>
      <c r="C4" s="4" t="s">
        <v>14</v>
      </c>
    </row>
    <row r="5" customFormat="false" ht="15" hidden="false" customHeight="false" outlineLevel="0" collapsed="false">
      <c r="B5" s="2" t="s">
        <v>3</v>
      </c>
      <c r="C5" s="4" t="s">
        <v>193</v>
      </c>
    </row>
    <row r="7" customFormat="false" ht="18.55" hidden="false" customHeight="false" outlineLevel="0" collapsed="false">
      <c r="B7" s="5" t="s">
        <v>194</v>
      </c>
      <c r="C7" s="5"/>
      <c r="D7" s="5"/>
      <c r="E7" s="8" t="s">
        <v>195</v>
      </c>
    </row>
    <row r="8" customFormat="false" ht="15" hidden="false" customHeight="false" outlineLevel="0" collapsed="false">
      <c r="B8" s="63" t="s">
        <v>196</v>
      </c>
      <c r="E8" s="6" t="s">
        <v>197</v>
      </c>
      <c r="F8" s="6"/>
    </row>
    <row r="9" customFormat="false" ht="15" hidden="false" customHeight="false" outlineLevel="0" collapsed="false">
      <c r="E9" s="79" t="s">
        <v>198</v>
      </c>
      <c r="F9" s="79"/>
    </row>
    <row r="10" customFormat="false" ht="15" hidden="false" customHeight="false" outlineLevel="0" collapsed="false">
      <c r="E10" s="11" t="s">
        <v>199</v>
      </c>
    </row>
    <row r="11" customFormat="false" ht="15" hidden="false" customHeight="false" outlineLevel="0" collapsed="false">
      <c r="E11" s="80" t="s">
        <v>200</v>
      </c>
      <c r="F11" s="80"/>
    </row>
    <row r="13" customFormat="false" ht="15" hidden="false" customHeight="false" outlineLevel="0" collapsed="false">
      <c r="B13" s="14" t="s">
        <v>201</v>
      </c>
      <c r="C13" s="14"/>
      <c r="D13" s="14"/>
      <c r="E13" s="14"/>
      <c r="F13" s="14"/>
    </row>
    <row r="15" customFormat="false" ht="30" hidden="false" customHeight="true" outlineLevel="0" collapsed="false">
      <c r="B15" s="15" t="s">
        <v>20</v>
      </c>
      <c r="C15" s="16" t="s">
        <v>21</v>
      </c>
      <c r="D15" s="16"/>
      <c r="E15" s="16"/>
      <c r="F15" s="16"/>
    </row>
    <row r="16" customFormat="false" ht="15" hidden="false" customHeight="false" outlineLevel="0" collapsed="false">
      <c r="B16" s="15" t="s">
        <v>202</v>
      </c>
      <c r="C16" s="20" t="str">
        <f aca="false">01_見積書!C4&amp;"（"&amp;01_見積書!C5&amp;" 発行）"</f>
        <v>SP-2026-0001（2026年9月8日 発行）</v>
      </c>
      <c r="D16" s="20"/>
      <c r="E16" s="20"/>
      <c r="F16" s="20"/>
    </row>
    <row r="18" customFormat="false" ht="19.5" hidden="false" customHeight="true" outlineLevel="0" collapsed="false">
      <c r="A18" s="22"/>
      <c r="B18" s="23" t="s">
        <v>34</v>
      </c>
      <c r="C18" s="23" t="s">
        <v>35</v>
      </c>
      <c r="D18" s="23" t="s">
        <v>36</v>
      </c>
      <c r="E18" s="22"/>
      <c r="F18" s="23" t="s">
        <v>37</v>
      </c>
    </row>
    <row r="19" customFormat="false" ht="27.75" hidden="false" customHeight="true" outlineLevel="0" collapsed="false">
      <c r="B19" s="24" t="s">
        <v>38</v>
      </c>
      <c r="C19" s="81" t="s">
        <v>203</v>
      </c>
      <c r="D19" s="26" t="n">
        <f aca="false">02_見積明細!D20</f>
        <v>100</v>
      </c>
      <c r="E19" s="34"/>
      <c r="F19" s="27" t="n">
        <f aca="false">02_見積明細!F20</f>
        <v>5000000</v>
      </c>
    </row>
    <row r="20" customFormat="false" ht="27.75" hidden="false" customHeight="true" outlineLevel="0" collapsed="false">
      <c r="B20" s="24" t="s">
        <v>40</v>
      </c>
      <c r="C20" s="20" t="s">
        <v>204</v>
      </c>
      <c r="D20" s="28" t="n">
        <v>10</v>
      </c>
      <c r="E20" s="34"/>
      <c r="F20" s="27" t="n">
        <f aca="false">02_見積明細!F24</f>
        <v>3000000</v>
      </c>
    </row>
    <row r="21" customFormat="false" ht="15" hidden="false" customHeight="false" outlineLevel="0" collapsed="false">
      <c r="B21" s="52" t="s">
        <v>92</v>
      </c>
      <c r="C21" s="31"/>
      <c r="D21" s="31"/>
      <c r="E21" s="31"/>
      <c r="F21" s="32" t="n">
        <f aca="false">SUM(F19:F20)</f>
        <v>8000000</v>
      </c>
    </row>
    <row r="22" customFormat="false" ht="15" hidden="false" customHeight="false" outlineLevel="0" collapsed="false">
      <c r="B22" s="82" t="s">
        <v>205</v>
      </c>
      <c r="C22" s="83"/>
      <c r="D22" s="82"/>
      <c r="E22" s="82"/>
      <c r="F22" s="27" t="n">
        <f aca="false">02_見積明細!F27</f>
        <v>0</v>
      </c>
    </row>
    <row r="23" customFormat="false" ht="15" hidden="false" customHeight="false" outlineLevel="0" collapsed="false">
      <c r="B23" s="58" t="s">
        <v>46</v>
      </c>
      <c r="C23" s="83"/>
      <c r="D23" s="84" t="n">
        <f aca="false">02_見積明細!D29</f>
        <v>0.1</v>
      </c>
      <c r="E23" s="82"/>
      <c r="F23" s="35" t="n">
        <f aca="false">ROUND((F21+F22)*D23,0)</f>
        <v>800000</v>
      </c>
    </row>
    <row r="24" customFormat="false" ht="25.5" hidden="false" customHeight="true" outlineLevel="0" collapsed="false">
      <c r="B24" s="60" t="s">
        <v>206</v>
      </c>
      <c r="C24" s="18"/>
      <c r="D24" s="18"/>
      <c r="E24" s="18"/>
      <c r="F24" s="85" t="n">
        <f aca="false">F21+F22+F23</f>
        <v>8800000</v>
      </c>
    </row>
    <row r="26" customFormat="false" ht="39.75" hidden="false" customHeight="true" outlineLevel="0" collapsed="false">
      <c r="B26" s="15" t="s">
        <v>23</v>
      </c>
      <c r="C26" s="20" t="s">
        <v>207</v>
      </c>
      <c r="D26" s="20"/>
      <c r="E26" s="20"/>
      <c r="F26" s="20"/>
    </row>
    <row r="27" customFormat="false" ht="27.75" hidden="false" customHeight="true" outlineLevel="0" collapsed="false">
      <c r="B27" s="15" t="s">
        <v>25</v>
      </c>
      <c r="C27" s="20" t="s">
        <v>26</v>
      </c>
      <c r="D27" s="20"/>
      <c r="E27" s="20"/>
      <c r="F27" s="20"/>
    </row>
    <row r="28" customFormat="false" ht="27.75" hidden="false" customHeight="true" outlineLevel="0" collapsed="false">
      <c r="B28" s="15" t="s">
        <v>27</v>
      </c>
      <c r="C28" s="20" t="s">
        <v>208</v>
      </c>
      <c r="D28" s="20"/>
      <c r="E28" s="20"/>
      <c r="F28" s="20"/>
    </row>
    <row r="29" customFormat="false" ht="27.75" hidden="false" customHeight="true" outlineLevel="0" collapsed="false">
      <c r="B29" s="15" t="s">
        <v>29</v>
      </c>
      <c r="C29" s="20" t="s">
        <v>30</v>
      </c>
      <c r="D29" s="20"/>
      <c r="E29" s="20"/>
      <c r="F29" s="20"/>
    </row>
    <row r="30" customFormat="false" ht="39.75" hidden="false" customHeight="true" outlineLevel="0" collapsed="false">
      <c r="B30" s="15" t="s">
        <v>209</v>
      </c>
      <c r="C30" s="20" t="s">
        <v>210</v>
      </c>
      <c r="D30" s="20"/>
      <c r="E30" s="20"/>
      <c r="F30" s="20"/>
    </row>
  </sheetData>
  <mergeCells count="13">
    <mergeCell ref="B2:F2"/>
    <mergeCell ref="B7:D7"/>
    <mergeCell ref="E8:F8"/>
    <mergeCell ref="E9:F9"/>
    <mergeCell ref="E11:F11"/>
    <mergeCell ref="B13:F13"/>
    <mergeCell ref="C15:F15"/>
    <mergeCell ref="C16:F16"/>
    <mergeCell ref="C26:F26"/>
    <mergeCell ref="C27:F27"/>
    <mergeCell ref="C28:F28"/>
    <mergeCell ref="C29:F29"/>
    <mergeCell ref="C30:F30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88"/>
  </cols>
  <sheetData>
    <row r="1" customFormat="false" ht="24" hidden="false" customHeight="true" outlineLevel="0" collapsed="false">
      <c r="B1" s="41" t="s">
        <v>211</v>
      </c>
    </row>
    <row r="3" customFormat="false" ht="19.5" hidden="false" customHeight="true" outlineLevel="0" collapsed="false">
      <c r="B3" s="86" t="s">
        <v>212</v>
      </c>
      <c r="C3" s="87"/>
    </row>
    <row r="4" customFormat="false" ht="21.75" hidden="false" customHeight="true" outlineLevel="0" collapsed="false">
      <c r="B4" s="88" t="s">
        <v>213</v>
      </c>
      <c r="C4" s="89" t="s">
        <v>214</v>
      </c>
    </row>
    <row r="5" customFormat="false" ht="21.75" hidden="false" customHeight="true" outlineLevel="0" collapsed="false">
      <c r="B5" s="88"/>
      <c r="C5" s="89" t="s">
        <v>215</v>
      </c>
    </row>
    <row r="6" customFormat="false" ht="21.75" hidden="false" customHeight="true" outlineLevel="0" collapsed="false">
      <c r="B6" s="88"/>
      <c r="C6" s="89" t="s">
        <v>216</v>
      </c>
    </row>
    <row r="7" customFormat="false" ht="21.75" hidden="false" customHeight="true" outlineLevel="0" collapsed="false">
      <c r="B7" s="88" t="s">
        <v>40</v>
      </c>
      <c r="C7" s="89" t="s">
        <v>217</v>
      </c>
    </row>
    <row r="8" customFormat="false" ht="33.75" hidden="false" customHeight="true" outlineLevel="0" collapsed="false">
      <c r="B8" s="90" t="s">
        <v>218</v>
      </c>
      <c r="C8" s="89" t="s">
        <v>219</v>
      </c>
    </row>
    <row r="10" customFormat="false" ht="19.5" hidden="false" customHeight="true" outlineLevel="0" collapsed="false">
      <c r="B10" s="91" t="s">
        <v>220</v>
      </c>
      <c r="C10" s="87"/>
    </row>
    <row r="11" customFormat="false" ht="21.75" hidden="false" customHeight="true" outlineLevel="0" collapsed="false">
      <c r="B11" s="88" t="s">
        <v>221</v>
      </c>
      <c r="C11" s="89" t="s">
        <v>222</v>
      </c>
    </row>
    <row r="12" customFormat="false" ht="33.75" hidden="false" customHeight="true" outlineLevel="0" collapsed="false">
      <c r="B12" s="90" t="s">
        <v>223</v>
      </c>
      <c r="C12" s="89" t="s">
        <v>224</v>
      </c>
    </row>
    <row r="13" customFormat="false" ht="21.75" hidden="false" customHeight="true" outlineLevel="0" collapsed="false">
      <c r="B13" s="88" t="s">
        <v>225</v>
      </c>
      <c r="C13" s="89" t="s">
        <v>226</v>
      </c>
    </row>
    <row r="14" customFormat="false" ht="21.75" hidden="false" customHeight="true" outlineLevel="0" collapsed="false">
      <c r="B14" s="88" t="s">
        <v>227</v>
      </c>
      <c r="C14" s="89" t="s">
        <v>228</v>
      </c>
    </row>
    <row r="15" customFormat="false" ht="21.75" hidden="false" customHeight="true" outlineLevel="0" collapsed="false">
      <c r="B15" s="88" t="s">
        <v>229</v>
      </c>
      <c r="C15" s="89" t="s">
        <v>230</v>
      </c>
    </row>
    <row r="16" customFormat="false" ht="21.75" hidden="false" customHeight="true" outlineLevel="0" collapsed="false">
      <c r="B16" s="88" t="s">
        <v>231</v>
      </c>
      <c r="C16" s="89" t="s">
        <v>232</v>
      </c>
    </row>
    <row r="17" customFormat="false" ht="21.75" hidden="false" customHeight="true" outlineLevel="0" collapsed="false">
      <c r="B17" s="88" t="s">
        <v>233</v>
      </c>
      <c r="C17" s="89" t="s">
        <v>234</v>
      </c>
    </row>
    <row r="19" customFormat="false" ht="19.5" hidden="false" customHeight="true" outlineLevel="0" collapsed="false">
      <c r="B19" s="86" t="s">
        <v>235</v>
      </c>
      <c r="C19" s="87"/>
    </row>
    <row r="20" customFormat="false" ht="21.75" hidden="false" customHeight="true" outlineLevel="0" collapsed="false">
      <c r="B20" s="88" t="s">
        <v>236</v>
      </c>
      <c r="C20" s="89" t="s">
        <v>237</v>
      </c>
    </row>
    <row r="21" customFormat="false" ht="33.75" hidden="false" customHeight="true" outlineLevel="0" collapsed="false">
      <c r="B21" s="88" t="s">
        <v>238</v>
      </c>
      <c r="C21" s="89" t="s">
        <v>239</v>
      </c>
    </row>
    <row r="22" customFormat="false" ht="21.75" hidden="false" customHeight="true" outlineLevel="0" collapsed="false">
      <c r="B22" s="88" t="s">
        <v>240</v>
      </c>
      <c r="C22" s="89" t="s">
        <v>241</v>
      </c>
    </row>
    <row r="23" customFormat="false" ht="21.75" hidden="false" customHeight="true" outlineLevel="0" collapsed="false">
      <c r="B23" s="88" t="s">
        <v>242</v>
      </c>
      <c r="C23" s="89" t="s">
        <v>243</v>
      </c>
    </row>
    <row r="25" customFormat="false" ht="19.5" hidden="false" customHeight="true" outlineLevel="0" collapsed="false">
      <c r="B25" s="86" t="s">
        <v>244</v>
      </c>
      <c r="C25" s="87"/>
    </row>
    <row r="26" customFormat="false" ht="21.75" hidden="false" customHeight="true" outlineLevel="0" collapsed="false">
      <c r="B26" s="88" t="s">
        <v>55</v>
      </c>
      <c r="C26" s="92" t="s">
        <v>245</v>
      </c>
    </row>
    <row r="27" customFormat="false" ht="21.75" hidden="false" customHeight="true" outlineLevel="0" collapsed="false">
      <c r="B27" s="88" t="s">
        <v>246</v>
      </c>
      <c r="C27" s="92" t="s">
        <v>247</v>
      </c>
    </row>
    <row r="28" customFormat="false" ht="21.75" hidden="false" customHeight="true" outlineLevel="0" collapsed="false">
      <c r="B28" s="88" t="s">
        <v>248</v>
      </c>
      <c r="C28" s="89" t="s">
        <v>249</v>
      </c>
    </row>
    <row r="29" customFormat="false" ht="21.75" hidden="false" customHeight="true" outlineLevel="0" collapsed="false">
      <c r="B29" s="88" t="s">
        <v>5</v>
      </c>
      <c r="C29" s="89" t="s">
        <v>250</v>
      </c>
    </row>
  </sheetData>
  <printOptions headings="false" gridLines="false" gridLinesSet="true" horizontalCentered="true" verticalCentered="false"/>
  <pageMargins left="0.5" right="0.5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2026-09-08T16:12:21Z</dcterms:created>
  <dc:creator>openpyxl</dc:creator>
  <dc:description/>
  <dc:language>en-US</dc:language>
  <cp:lastModifiedBy/>
  <dcterms:modified xsi:type="dcterms:W3CDTF">2026-09-08T16:12:22Z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