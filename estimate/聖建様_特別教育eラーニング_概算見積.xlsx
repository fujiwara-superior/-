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概算サマリー" sheetId="1" state="visible" r:id="rId3"/>
    <sheet name="02_科目マスタ" sheetId="2" state="visible" r:id="rId4"/>
    <sheet name="03_教材制作費" sheetId="3" state="visible" r:id="rId5"/>
    <sheet name="04_システム費用" sheetId="4" state="visible" r:id="rId6"/>
    <sheet name="05_前提・責任分界" sheetId="5" state="visible" r:id="rId7"/>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5" authorId="0">
      <text>
        <r>
          <rPr>
            <sz val="10"/>
            <rFont val="WenQuanYi Zen Hei"/>
            <family val="2"/>
          </rPr>
          <t xml:space="preserve">構成台本の書き起こし、スライド制作、図解アニメーション、</t>
        </r>
        <r>
          <rPr>
            <sz val="10"/>
            <rFont val="Arial"/>
            <family val="2"/>
          </rPr>
          <t xml:space="preserve">AI</t>
        </r>
        <r>
          <rPr>
            <sz val="10"/>
            <rFont val="WenQuanYi Zen Hei"/>
            <family val="2"/>
          </rPr>
          <t xml:space="preserve">音声ナレーション、バーチャル講師映像、編集、書き出しまで。撮影は行いません。</t>
        </r>
      </text>
    </comment>
    <comment ref="C6" authorId="0">
      <text>
        <r>
          <rPr>
            <sz val="10"/>
            <rFont val="WenQuanYi Zen Hei"/>
            <family val="2"/>
          </rPr>
          <t xml:space="preserve">労働安全衛生コンサルタント等の第三者監修。法定の科目・範囲・時間を満たしていることを、監修者名を明示して確認します。</t>
        </r>
      </text>
    </comment>
    <comment ref="C7" authorId="0">
      <text>
        <r>
          <rPr>
            <sz val="10"/>
            <rFont val="WenQuanYi Zen Hei"/>
            <family val="2"/>
          </rPr>
          <t xml:space="preserve">章末テストおよび修了確認テストの問題作成・解説文の作成。</t>
        </r>
      </text>
    </comment>
  </commentList>
</comments>
</file>

<file path=xl/sharedStrings.xml><?xml version="1.0" encoding="utf-8"?>
<sst xmlns="http://schemas.openxmlformats.org/spreadsheetml/2006/main" count="227" uniqueCount="199">
  <si>
    <r>
      <rPr>
        <b val="true"/>
        <sz val="16"/>
        <color rgb="FF16324F"/>
        <rFont val="WenQuanYi Zen Hei"/>
        <family val="2"/>
      </rPr>
      <t xml:space="preserve">特別教育 </t>
    </r>
    <r>
      <rPr>
        <b val="true"/>
        <sz val="16"/>
        <color rgb="FF16324F"/>
        <rFont val="Arial"/>
        <family val="0"/>
        <charset val="1"/>
      </rPr>
      <t xml:space="preserve">e</t>
    </r>
    <r>
      <rPr>
        <b val="true"/>
        <sz val="16"/>
        <color rgb="FF16324F"/>
        <rFont val="WenQuanYi Zen Hei"/>
        <family val="2"/>
      </rPr>
      <t xml:space="preserve">ラーニング事業  全体概算</t>
    </r>
  </si>
  <si>
    <r>
      <rPr>
        <sz val="9.5"/>
        <color rgb="FF6B7B8A"/>
        <rFont val="WenQuanYi Zen Hei"/>
        <family val="2"/>
      </rPr>
      <t xml:space="preserve">株式会社聖建 御中 ／ 株式会社スペリオル ／ </t>
    </r>
    <r>
      <rPr>
        <sz val="9.5"/>
        <color rgb="FF6B7B8A"/>
        <rFont val="Arial"/>
        <family val="0"/>
        <charset val="1"/>
      </rPr>
      <t xml:space="preserve">2026</t>
    </r>
    <r>
      <rPr>
        <sz val="9.5"/>
        <color rgb="FF6B7B8A"/>
        <rFont val="WenQuanYi Zen Hei"/>
        <family val="2"/>
      </rPr>
      <t xml:space="preserve">年</t>
    </r>
    <r>
      <rPr>
        <sz val="9.5"/>
        <color rgb="FF6B7B8A"/>
        <rFont val="Arial"/>
        <family val="0"/>
        <charset val="1"/>
      </rPr>
      <t xml:space="preserve">8</t>
    </r>
    <r>
      <rPr>
        <sz val="9.5"/>
        <color rgb="FF6B7B8A"/>
        <rFont val="WenQuanYi Zen Hei"/>
        <family val="2"/>
      </rPr>
      <t xml:space="preserve">月</t>
    </r>
    <r>
      <rPr>
        <sz val="9.5"/>
        <color rgb="FF6B7B8A"/>
        <rFont val="Arial"/>
        <family val="0"/>
        <charset val="1"/>
      </rPr>
      <t xml:space="preserve">30</t>
    </r>
    <r>
      <rPr>
        <sz val="9.5"/>
        <color rgb="FF6B7B8A"/>
        <rFont val="WenQuanYi Zen Hei"/>
        <family val="2"/>
      </rPr>
      <t xml:space="preserve">日時点の概算</t>
    </r>
  </si>
  <si>
    <t xml:space="preserve">項目</t>
  </si>
  <si>
    <r>
      <rPr>
        <b val="true"/>
        <sz val="10"/>
        <color rgb="FFFFFFFF"/>
        <rFont val="WenQuanYi Zen Hei"/>
        <family val="2"/>
      </rPr>
      <t xml:space="preserve">概算</t>
    </r>
    <r>
      <rPr>
        <b val="true"/>
        <sz val="10"/>
        <color rgb="FFFFFFFF"/>
        <rFont val="Arial"/>
        <family val="0"/>
        <charset val="1"/>
      </rPr>
      <t xml:space="preserve">(</t>
    </r>
    <r>
      <rPr>
        <b val="true"/>
        <sz val="10"/>
        <color rgb="FFFFFFFF"/>
        <rFont val="WenQuanYi Zen Hei"/>
        <family val="2"/>
      </rPr>
      <t xml:space="preserve">下限</t>
    </r>
    <r>
      <rPr>
        <b val="true"/>
        <sz val="10"/>
        <color rgb="FFFFFFFF"/>
        <rFont val="Arial"/>
        <family val="0"/>
        <charset val="1"/>
      </rPr>
      <t xml:space="preserve">)</t>
    </r>
  </si>
  <si>
    <r>
      <rPr>
        <b val="true"/>
        <sz val="10"/>
        <color rgb="FFFFFFFF"/>
        <rFont val="WenQuanYi Zen Hei"/>
        <family val="2"/>
      </rPr>
      <t xml:space="preserve">概算</t>
    </r>
    <r>
      <rPr>
        <b val="true"/>
        <sz val="10"/>
        <color rgb="FFFFFFFF"/>
        <rFont val="Arial"/>
        <family val="0"/>
        <charset val="1"/>
      </rPr>
      <t xml:space="preserve">(</t>
    </r>
    <r>
      <rPr>
        <b val="true"/>
        <sz val="10"/>
        <color rgb="FFFFFFFF"/>
        <rFont val="WenQuanYi Zen Hei"/>
        <family val="2"/>
      </rPr>
      <t xml:space="preserve">上限</t>
    </r>
    <r>
      <rPr>
        <b val="true"/>
        <sz val="10"/>
        <color rgb="FFFFFFFF"/>
        <rFont val="Arial"/>
        <family val="0"/>
        <charset val="1"/>
      </rPr>
      <t xml:space="preserve">)</t>
    </r>
  </si>
  <si>
    <t xml:space="preserve">備考</t>
  </si>
  <si>
    <t xml:space="preserve">教材制作費（選択した科目の合計）</t>
  </si>
  <si>
    <r>
      <rPr>
        <sz val="9"/>
        <color rgb="FF4A5A68"/>
        <rFont val="WenQuanYi Zen Hei"/>
        <family val="2"/>
      </rPr>
      <t xml:space="preserve">シート</t>
    </r>
    <r>
      <rPr>
        <sz val="9"/>
        <color rgb="FF4A5A68"/>
        <rFont val="Arial"/>
        <family val="0"/>
        <charset val="1"/>
      </rPr>
      <t xml:space="preserve">03</t>
    </r>
    <r>
      <rPr>
        <sz val="9"/>
        <color rgb="FF4A5A68"/>
        <rFont val="WenQuanYi Zen Hei"/>
        <family val="2"/>
      </rPr>
      <t xml:space="preserve">で科目を選択すると自動で反映されます。上限・下限は同額（単価は</t>
    </r>
    <r>
      <rPr>
        <sz val="9"/>
        <color rgb="FF4A5A68"/>
        <rFont val="Arial"/>
        <family val="0"/>
        <charset val="1"/>
      </rPr>
      <t xml:space="preserve">1</t>
    </r>
    <r>
      <rPr>
        <sz val="9"/>
        <color rgb="FF4A5A68"/>
        <rFont val="WenQuanYi Zen Hei"/>
        <family val="2"/>
      </rPr>
      <t xml:space="preserve">本）</t>
    </r>
  </si>
  <si>
    <r>
      <rPr>
        <b val="true"/>
        <sz val="10"/>
        <color rgb="FF000000"/>
        <rFont val="WenQuanYi Zen Hei"/>
        <family val="2"/>
      </rPr>
      <t xml:space="preserve">システム初期費用 フェーズ</t>
    </r>
    <r>
      <rPr>
        <b val="true"/>
        <sz val="10"/>
        <color rgb="FF000000"/>
        <rFont val="Arial"/>
        <family val="0"/>
        <charset val="1"/>
      </rPr>
      <t xml:space="preserve">1</t>
    </r>
  </si>
  <si>
    <t xml:space="preserve">受講者ポータル、本人確認、動画配信、テスト、修了証。まずここから</t>
  </si>
  <si>
    <r>
      <rPr>
        <b val="true"/>
        <sz val="10"/>
        <color rgb="FF000000"/>
        <rFont val="WenQuanYi Zen Hei"/>
        <family val="2"/>
      </rPr>
      <t xml:space="preserve">システム初期費用 フェーズ</t>
    </r>
    <r>
      <rPr>
        <b val="true"/>
        <sz val="10"/>
        <color rgb="FF000000"/>
        <rFont val="Arial"/>
        <family val="0"/>
        <charset val="1"/>
      </rPr>
      <t xml:space="preserve">2</t>
    </r>
  </si>
  <si>
    <t xml:space="preserve">企業管理ポータル、決済、運営管理、記録保存。運用開始後に追加</t>
  </si>
  <si>
    <t xml:space="preserve">初期投資 合計</t>
  </si>
  <si>
    <r>
      <rPr>
        <b val="true"/>
        <sz val="10"/>
        <color rgb="FF000000"/>
        <rFont val="WenQuanYi Zen Hei"/>
        <family val="2"/>
      </rPr>
      <t xml:space="preserve">うち フェーズ</t>
    </r>
    <r>
      <rPr>
        <b val="true"/>
        <sz val="10"/>
        <color rgb="FF000000"/>
        <rFont val="Arial"/>
        <family val="0"/>
        <charset val="1"/>
      </rPr>
      <t xml:space="preserve">1 </t>
    </r>
    <r>
      <rPr>
        <b val="true"/>
        <sz val="10"/>
        <color rgb="FF000000"/>
        <rFont val="WenQuanYi Zen Hei"/>
        <family val="2"/>
      </rPr>
      <t xml:space="preserve">までで着手する場合</t>
    </r>
  </si>
  <si>
    <r>
      <rPr>
        <sz val="9"/>
        <color rgb="FF4A5A68"/>
        <rFont val="WenQuanYi Zen Hei"/>
        <family val="2"/>
      </rPr>
      <t xml:space="preserve">教材とフェーズ</t>
    </r>
    <r>
      <rPr>
        <sz val="9"/>
        <color rgb="FF4A5A68"/>
        <rFont val="Arial"/>
        <family val="0"/>
        <charset val="1"/>
      </rPr>
      <t xml:space="preserve">1</t>
    </r>
    <r>
      <rPr>
        <sz val="9"/>
        <color rgb="FF4A5A68"/>
        <rFont val="WenQuanYi Zen Hei"/>
        <family val="2"/>
      </rPr>
      <t xml:space="preserve">のみ。まずこの範囲でのご検討を推奨します</t>
    </r>
  </si>
  <si>
    <t xml:space="preserve">月額運用費（固定分）</t>
  </si>
  <si>
    <r>
      <rPr>
        <sz val="9"/>
        <color rgb="FF4A5A68"/>
        <rFont val="WenQuanYi Zen Hei"/>
        <family val="2"/>
      </rPr>
      <t xml:space="preserve">別途、本人確認</t>
    </r>
    <r>
      <rPr>
        <sz val="9"/>
        <color rgb="FF4A5A68"/>
        <rFont val="Arial"/>
        <family val="0"/>
        <charset val="1"/>
      </rPr>
      <t xml:space="preserve">API</t>
    </r>
    <r>
      <rPr>
        <sz val="9"/>
        <color rgb="FF4A5A68"/>
        <rFont val="WenQuanYi Zen Hei"/>
        <family val="2"/>
      </rPr>
      <t xml:space="preserve">と動画配信の従量課金が発生します</t>
    </r>
  </si>
  <si>
    <t xml:space="preserve">選択中の科目数</t>
  </si>
  <si>
    <t xml:space="preserve">科目</t>
  </si>
  <si>
    <r>
      <rPr>
        <sz val="9"/>
        <color rgb="FF4A5A68"/>
        <rFont val="WenQuanYi Zen Hei"/>
        <family val="2"/>
      </rPr>
      <t xml:space="preserve">シート</t>
    </r>
    <r>
      <rPr>
        <sz val="9"/>
        <color rgb="FF4A5A68"/>
        <rFont val="Arial"/>
        <family val="0"/>
        <charset val="1"/>
      </rPr>
      <t xml:space="preserve">03</t>
    </r>
    <r>
      <rPr>
        <sz val="9"/>
        <color rgb="FF4A5A68"/>
        <rFont val="WenQuanYi Zen Hei"/>
        <family val="2"/>
      </rPr>
      <t xml:space="preserve">の</t>
    </r>
    <r>
      <rPr>
        <sz val="9"/>
        <color rgb="FF4A5A68"/>
        <rFont val="Arial"/>
        <family val="0"/>
        <charset val="1"/>
      </rPr>
      <t xml:space="preserve">A</t>
    </r>
    <r>
      <rPr>
        <sz val="9"/>
        <color rgb="FF4A5A68"/>
        <rFont val="WenQuanYi Zen Hei"/>
        <family val="2"/>
      </rPr>
      <t xml:space="preserve">列で選択します</t>
    </r>
  </si>
  <si>
    <t xml:space="preserve">選択中の学科時間 合計</t>
  </si>
  <si>
    <t xml:space="preserve">制作する動画の総尺の設計基準になります</t>
  </si>
  <si>
    <t xml:space="preserve">■ このシートの使い方</t>
  </si>
  <si>
    <r>
      <rPr>
        <sz val="9.5"/>
        <color rgb="FF4A5A68"/>
        <rFont val="WenQuanYi Zen Hei"/>
        <family val="2"/>
      </rPr>
      <t xml:space="preserve">・シート</t>
    </r>
    <r>
      <rPr>
        <sz val="9.5"/>
        <color rgb="FF4A5A68"/>
        <rFont val="Arial"/>
        <family val="0"/>
        <charset val="1"/>
      </rPr>
      <t xml:space="preserve">03</t>
    </r>
    <r>
      <rPr>
        <sz val="9.5"/>
        <color rgb="FF4A5A68"/>
        <rFont val="WenQuanYi Zen Hei"/>
        <family val="2"/>
      </rPr>
      <t xml:space="preserve">「教材制作費」の</t>
    </r>
    <r>
      <rPr>
        <sz val="9.5"/>
        <color rgb="FF4A5A68"/>
        <rFont val="Arial"/>
        <family val="0"/>
        <charset val="1"/>
      </rPr>
      <t xml:space="preserve">A</t>
    </r>
    <r>
      <rPr>
        <sz val="9.5"/>
        <color rgb="FF4A5A68"/>
        <rFont val="WenQuanYi Zen Hei"/>
        <family val="2"/>
      </rPr>
      <t xml:space="preserve">列に </t>
    </r>
    <r>
      <rPr>
        <sz val="9.5"/>
        <color rgb="FF4A5A68"/>
        <rFont val="Arial"/>
        <family val="0"/>
        <charset val="1"/>
      </rPr>
      <t xml:space="preserve">1 </t>
    </r>
    <r>
      <rPr>
        <sz val="9.5"/>
        <color rgb="FF4A5A68"/>
        <rFont val="WenQuanYi Zen Hei"/>
        <family val="2"/>
      </rPr>
      <t xml:space="preserve">を入れると、その科目が集計に入ります。初期状態では足場・フルハーネス・テールゲートリフターの</t>
    </r>
    <r>
      <rPr>
        <sz val="9.5"/>
        <color rgb="FF4A5A68"/>
        <rFont val="Arial"/>
        <family val="0"/>
        <charset val="1"/>
      </rPr>
      <t xml:space="preserve">3</t>
    </r>
    <r>
      <rPr>
        <sz val="9.5"/>
        <color rgb="FF4A5A68"/>
        <rFont val="WenQuanYi Zen Hei"/>
        <family val="2"/>
      </rPr>
      <t xml:space="preserve">科目を選択しています。</t>
    </r>
  </si>
  <si>
    <t xml:space="preserve">・単価（黄色のセル）を変更すると、このサマリーまで自動で再計算されます。</t>
  </si>
  <si>
    <t xml:space="preserve">・緑色の数字は他シートからの参照、青色の数字は入力値、黒色は計算結果です。</t>
  </si>
  <si>
    <t xml:space="preserve">■ 重要：この金額は概算です</t>
  </si>
  <si>
    <t xml:space="preserve">・単価は同種案件の一般的な相場に基づく想定値です。正式なお見積りは要件確定後に別途ご提示します。</t>
  </si>
  <si>
    <r>
      <rPr>
        <sz val="9.5"/>
        <color rgb="FF4A5A68"/>
        <rFont val="WenQuanYi Zen Hei"/>
        <family val="2"/>
      </rPr>
      <t xml:space="preserve">・シート</t>
    </r>
    <r>
      <rPr>
        <sz val="9.5"/>
        <color rgb="FF4A5A68"/>
        <rFont val="Arial"/>
        <family val="0"/>
        <charset val="1"/>
      </rPr>
      <t xml:space="preserve">05</t>
    </r>
    <r>
      <rPr>
        <sz val="9.5"/>
        <color rgb="FF4A5A68"/>
        <rFont val="WenQuanYi Zen Hei"/>
        <family val="2"/>
      </rPr>
      <t xml:space="preserve">に、金額の前提と責任の分担範囲を記載しています。必ずあわせてご確認ください。</t>
    </r>
  </si>
  <si>
    <t xml:space="preserve">特別教育 科目別 法定時間マスタ</t>
  </si>
  <si>
    <r>
      <rPr>
        <sz val="9.5"/>
        <color rgb="FF6B7B8A"/>
        <rFont val="WenQuanYi Zen Hei"/>
        <family val="2"/>
      </rPr>
      <t xml:space="preserve">出典：安全衛生特別教育規程（昭和</t>
    </r>
    <r>
      <rPr>
        <sz val="9.5"/>
        <color rgb="FF6B7B8A"/>
        <rFont val="Arial"/>
        <family val="0"/>
        <charset val="1"/>
      </rPr>
      <t xml:space="preserve">47</t>
    </r>
    <r>
      <rPr>
        <sz val="9.5"/>
        <color rgb="FF6B7B8A"/>
        <rFont val="WenQuanYi Zen Hei"/>
        <family val="2"/>
      </rPr>
      <t xml:space="preserve">年労働省告示第</t>
    </r>
    <r>
      <rPr>
        <sz val="9.5"/>
        <color rgb="FF6B7B8A"/>
        <rFont val="Arial"/>
        <family val="0"/>
        <charset val="1"/>
      </rPr>
      <t xml:space="preserve">92</t>
    </r>
    <r>
      <rPr>
        <sz val="9.5"/>
        <color rgb="FF6B7B8A"/>
        <rFont val="WenQuanYi Zen Hei"/>
        <family val="2"/>
      </rPr>
      <t xml:space="preserve">号）ほか。学科時間が、</t>
    </r>
    <r>
      <rPr>
        <sz val="9.5"/>
        <color rgb="FF6B7B8A"/>
        <rFont val="Arial"/>
        <family val="0"/>
        <charset val="1"/>
      </rPr>
      <t xml:space="preserve">e</t>
    </r>
    <r>
      <rPr>
        <sz val="9.5"/>
        <color rgb="FF6B7B8A"/>
        <rFont val="WenQuanYi Zen Hei"/>
        <family val="2"/>
      </rPr>
      <t xml:space="preserve">ラーニング動画の尺を設計する基準になります。</t>
    </r>
  </si>
  <si>
    <t xml:space="preserve">業務の名称</t>
  </si>
  <si>
    <r>
      <rPr>
        <b val="true"/>
        <sz val="10"/>
        <color rgb="FFFFFFFF"/>
        <rFont val="WenQuanYi Zen Hei"/>
        <family val="2"/>
      </rPr>
      <t xml:space="preserve">学科
</t>
    </r>
    <r>
      <rPr>
        <b val="true"/>
        <sz val="10"/>
        <color rgb="FFFFFFFF"/>
        <rFont val="Arial"/>
        <family val="0"/>
        <charset val="1"/>
      </rPr>
      <t xml:space="preserve">(</t>
    </r>
    <r>
      <rPr>
        <b val="true"/>
        <sz val="10"/>
        <color rgb="FFFFFFFF"/>
        <rFont val="WenQuanYi Zen Hei"/>
        <family val="2"/>
      </rPr>
      <t xml:space="preserve">時間</t>
    </r>
    <r>
      <rPr>
        <b val="true"/>
        <sz val="10"/>
        <color rgb="FFFFFFFF"/>
        <rFont val="Arial"/>
        <family val="0"/>
        <charset val="1"/>
      </rPr>
      <t xml:space="preserve">)</t>
    </r>
  </si>
  <si>
    <r>
      <rPr>
        <b val="true"/>
        <sz val="10"/>
        <color rgb="FFFFFFFF"/>
        <rFont val="WenQuanYi Zen Hei"/>
        <family val="2"/>
      </rPr>
      <t xml:space="preserve">実技
</t>
    </r>
    <r>
      <rPr>
        <b val="true"/>
        <sz val="10"/>
        <color rgb="FFFFFFFF"/>
        <rFont val="Arial"/>
        <family val="0"/>
        <charset val="1"/>
      </rPr>
      <t xml:space="preserve">(</t>
    </r>
    <r>
      <rPr>
        <b val="true"/>
        <sz val="10"/>
        <color rgb="FFFFFFFF"/>
        <rFont val="WenQuanYi Zen Hei"/>
        <family val="2"/>
      </rPr>
      <t xml:space="preserve">時間</t>
    </r>
    <r>
      <rPr>
        <b val="true"/>
        <sz val="10"/>
        <color rgb="FFFFFFFF"/>
        <rFont val="Arial"/>
        <family val="0"/>
        <charset val="1"/>
      </rPr>
      <t xml:space="preserve">)</t>
    </r>
  </si>
  <si>
    <r>
      <rPr>
        <b val="true"/>
        <sz val="10"/>
        <color rgb="FFFFFFFF"/>
        <rFont val="WenQuanYi Zen Hei"/>
        <family val="2"/>
      </rPr>
      <t xml:space="preserve">合計
</t>
    </r>
    <r>
      <rPr>
        <b val="true"/>
        <sz val="10"/>
        <color rgb="FFFFFFFF"/>
        <rFont val="Arial"/>
        <family val="0"/>
        <charset val="1"/>
      </rPr>
      <t xml:space="preserve">(</t>
    </r>
    <r>
      <rPr>
        <b val="true"/>
        <sz val="10"/>
        <color rgb="FFFFFFFF"/>
        <rFont val="WenQuanYi Zen Hei"/>
        <family val="2"/>
      </rPr>
      <t xml:space="preserve">時間</t>
    </r>
    <r>
      <rPr>
        <b val="true"/>
        <sz val="10"/>
        <color rgb="FFFFFFFF"/>
        <rFont val="Arial"/>
        <family val="0"/>
        <charset val="1"/>
      </rPr>
      <t xml:space="preserve">)</t>
    </r>
  </si>
  <si>
    <r>
      <rPr>
        <b val="true"/>
        <sz val="10"/>
        <color rgb="FFFFFFFF"/>
        <rFont val="Arial"/>
        <family val="0"/>
        <charset val="1"/>
      </rPr>
      <t xml:space="preserve">e</t>
    </r>
    <r>
      <rPr>
        <b val="true"/>
        <sz val="10"/>
        <color rgb="FFFFFFFF"/>
        <rFont val="WenQuanYi Zen Hei"/>
        <family val="2"/>
      </rPr>
      <t xml:space="preserve">ラーニング適性</t>
    </r>
  </si>
  <si>
    <t xml:space="preserve">確認状況・備考</t>
  </si>
  <si>
    <t xml:space="preserve">足場の組立て等の業務</t>
  </si>
  <si>
    <t xml:space="preserve">◎ 学科のみで完結</t>
  </si>
  <si>
    <t xml:space="preserve">実技の定めなし。オンラインで修了まで完結できる有力候補</t>
  </si>
  <si>
    <t xml:space="preserve">粉じん作業に係る業務</t>
  </si>
  <si>
    <t xml:space="preserve">じん肺法・粉じん障害防止規則関連。実技の定めなし</t>
  </si>
  <si>
    <t xml:space="preserve">石綿等が使用されている建築物等の解体等の業務</t>
  </si>
  <si>
    <t xml:space="preserve">石綿障害予防規則。解体・改修需要が継続的にある</t>
  </si>
  <si>
    <r>
      <rPr>
        <sz val="10"/>
        <color rgb="FF000000"/>
        <rFont val="WenQuanYi Zen Hei"/>
        <family val="2"/>
      </rPr>
      <t xml:space="preserve">酸素欠乏・硫化水素危険作業（第</t>
    </r>
    <r>
      <rPr>
        <sz val="10"/>
        <color rgb="FF000000"/>
        <rFont val="Arial"/>
        <family val="0"/>
        <charset val="1"/>
      </rPr>
      <t xml:space="preserve">2</t>
    </r>
    <r>
      <rPr>
        <sz val="10"/>
        <color rgb="FF000000"/>
        <rFont val="WenQuanYi Zen Hei"/>
        <family val="2"/>
      </rPr>
      <t xml:space="preserve">種）</t>
    </r>
  </si>
  <si>
    <r>
      <rPr>
        <sz val="9"/>
        <color rgb="FF4A5A68"/>
        <rFont val="WenQuanYi Zen Hei"/>
        <family val="2"/>
      </rPr>
      <t xml:space="preserve">酸素欠乏危険作業特別教育規程。第</t>
    </r>
    <r>
      <rPr>
        <sz val="9"/>
        <color rgb="FF4A5A68"/>
        <rFont val="Arial"/>
        <family val="0"/>
        <charset val="1"/>
      </rPr>
      <t xml:space="preserve">1</t>
    </r>
    <r>
      <rPr>
        <sz val="9"/>
        <color rgb="FF4A5A68"/>
        <rFont val="WenQuanYi Zen Hei"/>
        <family val="2"/>
      </rPr>
      <t xml:space="preserve">種は科目構成が異なるため要原典確認</t>
    </r>
  </si>
  <si>
    <t xml:space="preserve">フルハーネス型墜落制止用器具を用いて行う作業</t>
  </si>
  <si>
    <t xml:space="preserve">○ 学科のみ提供</t>
  </si>
  <si>
    <r>
      <rPr>
        <sz val="9"/>
        <color rgb="FF4A5A68"/>
        <rFont val="WenQuanYi Zen Hei"/>
        <family val="2"/>
      </rPr>
      <t xml:space="preserve">実技</t>
    </r>
    <r>
      <rPr>
        <sz val="9"/>
        <color rgb="FF4A5A68"/>
        <rFont val="Arial"/>
        <family val="0"/>
        <charset val="1"/>
      </rPr>
      <t xml:space="preserve">1.5</t>
    </r>
    <r>
      <rPr>
        <sz val="9"/>
        <color rgb="FF4A5A68"/>
        <rFont val="WenQuanYi Zen Hei"/>
        <family val="2"/>
      </rPr>
      <t xml:space="preserve">時間は受講者の所属事業者が実施。</t>
    </r>
    <r>
      <rPr>
        <sz val="9"/>
        <color rgb="FF4A5A68"/>
        <rFont val="Arial"/>
        <family val="0"/>
        <charset val="1"/>
      </rPr>
      <t xml:space="preserve">Web</t>
    </r>
    <r>
      <rPr>
        <sz val="9"/>
        <color rgb="FF4A5A68"/>
        <rFont val="WenQuanYi Zen Hei"/>
        <family val="2"/>
      </rPr>
      <t xml:space="preserve">講座の標準的な提供形態</t>
    </r>
  </si>
  <si>
    <t xml:space="preserve">テールゲートリフターの操作の業務</t>
  </si>
  <si>
    <r>
      <rPr>
        <sz val="9"/>
        <color rgb="FF4A5A68"/>
        <rFont val="Arial"/>
        <family val="0"/>
        <charset val="1"/>
      </rPr>
      <t xml:space="preserve">2024</t>
    </r>
    <r>
      <rPr>
        <sz val="9"/>
        <color rgb="FF4A5A68"/>
        <rFont val="WenQuanYi Zen Hei"/>
        <family val="2"/>
      </rPr>
      <t xml:space="preserve">年</t>
    </r>
    <r>
      <rPr>
        <sz val="9"/>
        <color rgb="FF4A5A68"/>
        <rFont val="Arial"/>
        <family val="0"/>
        <charset val="1"/>
      </rPr>
      <t xml:space="preserve">2</t>
    </r>
    <r>
      <rPr>
        <sz val="9"/>
        <color rgb="FF4A5A68"/>
        <rFont val="WenQuanYi Zen Hei"/>
        <family val="2"/>
      </rPr>
      <t xml:space="preserve">月</t>
    </r>
    <r>
      <rPr>
        <sz val="9"/>
        <color rgb="FF4A5A68"/>
        <rFont val="Arial"/>
        <family val="0"/>
        <charset val="1"/>
      </rPr>
      <t xml:space="preserve">1</t>
    </r>
    <r>
      <rPr>
        <sz val="9"/>
        <color rgb="FF4A5A68"/>
        <rFont val="WenQuanYi Zen Hei"/>
        <family val="2"/>
      </rPr>
      <t xml:space="preserve">日より義務化。新規需要が最も大きい科目</t>
    </r>
  </si>
  <si>
    <t xml:space="preserve">自由研削といしの取替え等の業務</t>
  </si>
  <si>
    <t xml:space="preserve">製造業・建設業ともに対象者が多い</t>
  </si>
  <si>
    <t xml:space="preserve">低圧電気取扱業務（開閉器の操作のみ）</t>
  </si>
  <si>
    <r>
      <rPr>
        <sz val="9"/>
        <color rgb="FF4A5A68"/>
        <rFont val="WenQuanYi Zen Hei"/>
        <family val="2"/>
      </rPr>
      <t xml:space="preserve">実技は</t>
    </r>
    <r>
      <rPr>
        <sz val="9"/>
        <color rgb="FF4A5A68"/>
        <rFont val="Arial"/>
        <family val="0"/>
        <charset val="1"/>
      </rPr>
      <t xml:space="preserve">1</t>
    </r>
    <r>
      <rPr>
        <sz val="9"/>
        <color rgb="FF4A5A68"/>
        <rFont val="WenQuanYi Zen Hei"/>
        <family val="2"/>
      </rPr>
      <t xml:space="preserve">時間以上。学科が</t>
    </r>
    <r>
      <rPr>
        <sz val="9"/>
        <color rgb="FF4A5A68"/>
        <rFont val="Arial"/>
        <family val="0"/>
        <charset val="1"/>
      </rPr>
      <t xml:space="preserve">7</t>
    </r>
    <r>
      <rPr>
        <sz val="9"/>
        <color rgb="FF4A5A68"/>
        <rFont val="WenQuanYi Zen Hei"/>
        <family val="2"/>
      </rPr>
      <t xml:space="preserve">時間と長く、制作費は上振れする</t>
    </r>
  </si>
  <si>
    <t xml:space="preserve">低圧電気取扱業務（充電電路の敷設等）</t>
  </si>
  <si>
    <t xml:space="preserve">△ 学科のみ提供</t>
  </si>
  <si>
    <r>
      <rPr>
        <sz val="9"/>
        <color rgb="FF4A5A68"/>
        <rFont val="WenQuanYi Zen Hei"/>
        <family val="2"/>
      </rPr>
      <t xml:space="preserve">実技</t>
    </r>
    <r>
      <rPr>
        <sz val="9"/>
        <color rgb="FF4A5A68"/>
        <rFont val="Arial"/>
        <family val="0"/>
        <charset val="1"/>
      </rPr>
      <t xml:space="preserve">7</t>
    </r>
    <r>
      <rPr>
        <sz val="9"/>
        <color rgb="FF4A5A68"/>
        <rFont val="WenQuanYi Zen Hei"/>
        <family val="2"/>
      </rPr>
      <t xml:space="preserve">時間以上。実技負担が大きく受講者側のハードルが高い</t>
    </r>
  </si>
  <si>
    <r>
      <rPr>
        <sz val="10"/>
        <color rgb="FF000000"/>
        <rFont val="WenQuanYi Zen Hei"/>
        <family val="2"/>
      </rPr>
      <t xml:space="preserve">高所作業車の運転（作業床の高さ</t>
    </r>
    <r>
      <rPr>
        <sz val="10"/>
        <color rgb="FF000000"/>
        <rFont val="Arial"/>
        <family val="0"/>
        <charset val="1"/>
      </rPr>
      <t xml:space="preserve">10m</t>
    </r>
    <r>
      <rPr>
        <sz val="10"/>
        <color rgb="FF000000"/>
        <rFont val="WenQuanYi Zen Hei"/>
        <family val="2"/>
      </rPr>
      <t xml:space="preserve">未満）</t>
    </r>
  </si>
  <si>
    <r>
      <rPr>
        <sz val="9"/>
        <color rgb="FF4A5A68"/>
        <rFont val="WenQuanYi Zen Hei"/>
        <family val="2"/>
      </rPr>
      <t xml:space="preserve">実技</t>
    </r>
    <r>
      <rPr>
        <sz val="9"/>
        <color rgb="FF4A5A68"/>
        <rFont val="Arial"/>
        <family val="0"/>
        <charset val="1"/>
      </rPr>
      <t xml:space="preserve">3</t>
    </r>
    <r>
      <rPr>
        <sz val="9"/>
        <color rgb="FF4A5A68"/>
        <rFont val="WenQuanYi Zen Hei"/>
        <family val="2"/>
      </rPr>
      <t xml:space="preserve">時間は実機が必要</t>
    </r>
  </si>
  <si>
    <r>
      <rPr>
        <sz val="10"/>
        <color rgb="FF000000"/>
        <rFont val="WenQuanYi Zen Hei"/>
        <family val="2"/>
      </rPr>
      <t xml:space="preserve">玉掛けの業務（つり上げ荷重</t>
    </r>
    <r>
      <rPr>
        <sz val="10"/>
        <color rgb="FF000000"/>
        <rFont val="Arial"/>
        <family val="0"/>
        <charset val="1"/>
      </rPr>
      <t xml:space="preserve">1</t>
    </r>
    <r>
      <rPr>
        <sz val="10"/>
        <color rgb="FF000000"/>
        <rFont val="WenQuanYi Zen Hei"/>
        <family val="2"/>
      </rPr>
      <t xml:space="preserve">トン未満）</t>
    </r>
  </si>
  <si>
    <r>
      <rPr>
        <sz val="9"/>
        <color rgb="FF4A5A68"/>
        <rFont val="WenQuanYi Zen Hei"/>
        <family val="2"/>
      </rPr>
      <t xml:space="preserve">実技</t>
    </r>
    <r>
      <rPr>
        <sz val="9"/>
        <color rgb="FF4A5A68"/>
        <rFont val="Arial"/>
        <family val="0"/>
        <charset val="1"/>
      </rPr>
      <t xml:space="preserve">4</t>
    </r>
    <r>
      <rPr>
        <sz val="9"/>
        <color rgb="FF4A5A68"/>
        <rFont val="WenQuanYi Zen Hei"/>
        <family val="2"/>
      </rPr>
      <t xml:space="preserve">時間は実機が必要</t>
    </r>
  </si>
  <si>
    <r>
      <rPr>
        <sz val="10"/>
        <color rgb="FF000000"/>
        <rFont val="WenQuanYi Zen Hei"/>
        <family val="2"/>
      </rPr>
      <t xml:space="preserve">小型車両系建設機械の運転（機体重量</t>
    </r>
    <r>
      <rPr>
        <sz val="10"/>
        <color rgb="FF000000"/>
        <rFont val="Arial"/>
        <family val="0"/>
        <charset val="1"/>
      </rPr>
      <t xml:space="preserve">3</t>
    </r>
    <r>
      <rPr>
        <sz val="10"/>
        <color rgb="FF000000"/>
        <rFont val="WenQuanYi Zen Hei"/>
        <family val="2"/>
      </rPr>
      <t xml:space="preserve">トン未満）</t>
    </r>
  </si>
  <si>
    <r>
      <rPr>
        <sz val="9"/>
        <color rgb="FF4A5A68"/>
        <rFont val="WenQuanYi Zen Hei"/>
        <family val="2"/>
      </rPr>
      <t xml:space="preserve">実技</t>
    </r>
    <r>
      <rPr>
        <sz val="9"/>
        <color rgb="FF4A5A68"/>
        <rFont val="Arial"/>
        <family val="0"/>
        <charset val="1"/>
      </rPr>
      <t xml:space="preserve">6</t>
    </r>
    <r>
      <rPr>
        <sz val="9"/>
        <color rgb="FF4A5A68"/>
        <rFont val="WenQuanYi Zen Hei"/>
        <family val="2"/>
      </rPr>
      <t xml:space="preserve">時間。整地・運搬・積込み用および掘削用</t>
    </r>
  </si>
  <si>
    <t xml:space="preserve">チェーンソーを用いて行う伐木等の業務</t>
  </si>
  <si>
    <t xml:space="preserve">令和元年改正で統合・拡充。建設業では対象者が限定的</t>
  </si>
  <si>
    <t xml:space="preserve">アーク溶接等の業務</t>
  </si>
  <si>
    <r>
      <rPr>
        <sz val="9"/>
        <color rgb="FF4A5A68"/>
        <rFont val="WenQuanYi Zen Hei"/>
        <family val="2"/>
      </rPr>
      <t xml:space="preserve">学科</t>
    </r>
    <r>
      <rPr>
        <sz val="9"/>
        <color rgb="FF4A5A68"/>
        <rFont val="Arial"/>
        <family val="0"/>
        <charset val="1"/>
      </rPr>
      <t xml:space="preserve">11</t>
    </r>
    <r>
      <rPr>
        <sz val="9"/>
        <color rgb="FF4A5A68"/>
        <rFont val="WenQuanYi Zen Hei"/>
        <family val="2"/>
      </rPr>
      <t xml:space="preserve">時間・実技</t>
    </r>
    <r>
      <rPr>
        <sz val="9"/>
        <color rgb="FF4A5A68"/>
        <rFont val="Arial"/>
        <family val="0"/>
        <charset val="1"/>
      </rPr>
      <t xml:space="preserve">10</t>
    </r>
    <r>
      <rPr>
        <sz val="9"/>
        <color rgb="FF4A5A68"/>
        <rFont val="WenQuanYi Zen Hei"/>
        <family val="2"/>
      </rPr>
      <t xml:space="preserve">時間と最大級。制作費が最も高くなる</t>
    </r>
  </si>
  <si>
    <t xml:space="preserve">参考：特別教育以外の教育（同じ仕組みで配信できます）</t>
  </si>
  <si>
    <t xml:space="preserve">【参考】職長・安全衛生責任者教育</t>
  </si>
  <si>
    <t xml:space="preserve">参考（特別教育ではない）</t>
  </si>
  <si>
    <r>
      <rPr>
        <sz val="9"/>
        <color rgb="FF4A5A68"/>
        <rFont val="WenQuanYi Zen Hei"/>
        <family val="2"/>
      </rPr>
      <t xml:space="preserve">労働安全衛生法第</t>
    </r>
    <r>
      <rPr>
        <sz val="9"/>
        <color rgb="FF4A5A68"/>
        <rFont val="Arial"/>
        <family val="0"/>
        <charset val="1"/>
      </rPr>
      <t xml:space="preserve">60</t>
    </r>
    <r>
      <rPr>
        <sz val="9"/>
        <color rgb="FF4A5A68"/>
        <rFont val="WenQuanYi Zen Hei"/>
        <family val="2"/>
      </rPr>
      <t xml:space="preserve">条。安衛則</t>
    </r>
    <r>
      <rPr>
        <sz val="9"/>
        <color rgb="FF4A5A68"/>
        <rFont val="Arial"/>
        <family val="0"/>
        <charset val="1"/>
      </rPr>
      <t xml:space="preserve">40</t>
    </r>
    <r>
      <rPr>
        <sz val="9"/>
        <color rgb="FF4A5A68"/>
        <rFont val="WenQuanYi Zen Hei"/>
        <family val="2"/>
      </rPr>
      <t xml:space="preserve">条の</t>
    </r>
    <r>
      <rPr>
        <sz val="9"/>
        <color rgb="FF4A5A68"/>
        <rFont val="Arial"/>
        <family val="0"/>
        <charset val="1"/>
      </rPr>
      <t xml:space="preserve">12</t>
    </r>
    <r>
      <rPr>
        <sz val="9"/>
        <color rgb="FF4A5A68"/>
        <rFont val="WenQuanYi Zen Hei"/>
        <family val="2"/>
      </rPr>
      <t xml:space="preserve">時間以上に、安全衛生責任者分を加えた運用が一般的。要原典確認</t>
    </r>
  </si>
  <si>
    <t xml:space="preserve">【参考】有機溶剤業務従事者 労働衛生教育</t>
  </si>
  <si>
    <t xml:space="preserve">通達に基づく安全衛生教育。特別教育ではないため罰則の対象外。時間は実施機関により差がある</t>
  </si>
  <si>
    <t xml:space="preserve">■ この表の読み方</t>
  </si>
  <si>
    <r>
      <rPr>
        <sz val="9.5"/>
        <color rgb="FF4A5A68"/>
        <rFont val="WenQuanYi Zen Hei"/>
        <family val="2"/>
      </rPr>
      <t xml:space="preserve">・「学科」＝</t>
    </r>
    <r>
      <rPr>
        <sz val="9.5"/>
        <color rgb="FF4A5A68"/>
        <rFont val="Arial"/>
        <family val="0"/>
        <charset val="1"/>
      </rPr>
      <t xml:space="preserve">e</t>
    </r>
    <r>
      <rPr>
        <sz val="9.5"/>
        <color rgb="FF4A5A68"/>
        <rFont val="WenQuanYi Zen Hei"/>
        <family val="2"/>
      </rPr>
      <t xml:space="preserve">ラーニングで提供できる時間。この時間数が、制作する動画の尺を決める基準になります。</t>
    </r>
  </si>
  <si>
    <r>
      <rPr>
        <sz val="9.5"/>
        <color rgb="FF4A5A68"/>
        <rFont val="WenQuanYi Zen Hei"/>
        <family val="2"/>
      </rPr>
      <t xml:space="preserve">・「実技」＝オンラインで代替できません。受講者の所属事業者が自ら実施する前提です（フルハーネス等の</t>
    </r>
    <r>
      <rPr>
        <sz val="9.5"/>
        <color rgb="FF4A5A68"/>
        <rFont val="Arial"/>
        <family val="0"/>
        <charset val="1"/>
      </rPr>
      <t xml:space="preserve">Web</t>
    </r>
    <r>
      <rPr>
        <sz val="9.5"/>
        <color rgb="FF4A5A68"/>
        <rFont val="WenQuanYi Zen Hei"/>
        <family val="2"/>
      </rPr>
      <t xml:space="preserve">講座で一般的な提供形態）。</t>
    </r>
  </si>
  <si>
    <t xml:space="preserve">・法定時間は「以上」の定めです。動画の総再生時間だけでなく、章末テスト・演習時間を含めた総学習時間で満たす設計にします。</t>
  </si>
  <si>
    <t xml:space="preserve">■ 出典と確認状況</t>
  </si>
  <si>
    <r>
      <rPr>
        <sz val="9.5"/>
        <color rgb="FF4A5A68"/>
        <rFont val="WenQuanYi Zen Hei"/>
        <family val="2"/>
      </rPr>
      <t xml:space="preserve">・時間数は安全衛生特別教育規程（昭和</t>
    </r>
    <r>
      <rPr>
        <sz val="9.5"/>
        <color rgb="FF4A5A68"/>
        <rFont val="Arial"/>
        <family val="0"/>
        <charset val="1"/>
      </rPr>
      <t xml:space="preserve">47</t>
    </r>
    <r>
      <rPr>
        <sz val="9.5"/>
        <color rgb="FF4A5A68"/>
        <rFont val="WenQuanYi Zen Hei"/>
        <family val="2"/>
      </rPr>
      <t xml:space="preserve">年労働省告示第</t>
    </r>
    <r>
      <rPr>
        <sz val="9.5"/>
        <color rgb="FF4A5A68"/>
        <rFont val="Arial"/>
        <family val="0"/>
        <charset val="1"/>
      </rPr>
      <t xml:space="preserve">92</t>
    </r>
    <r>
      <rPr>
        <sz val="9.5"/>
        <color rgb="FF4A5A68"/>
        <rFont val="WenQuanYi Zen Hei"/>
        <family val="2"/>
      </rPr>
      <t xml:space="preserve">号）および各講習機関の公表カリキュラムに基づきます。</t>
    </r>
  </si>
  <si>
    <t xml:space="preserve">・複数の講習機関の公表値が一致することを確認していますが、契約前に規程の原典で科目ごとに確定させてください。</t>
  </si>
  <si>
    <t xml:space="preserve">・「要原典確認」と記載した科目は、区分により時間が異なるため特に注意が必要です。</t>
  </si>
  <si>
    <t xml:space="preserve">教材制作費の試算</t>
  </si>
  <si>
    <r>
      <rPr>
        <sz val="9.5"/>
        <color rgb="FF6B7B8A"/>
        <rFont val="WenQuanYi Zen Hei"/>
        <family val="2"/>
      </rPr>
      <t xml:space="preserve">黄色のセルが入力欄です。</t>
    </r>
    <r>
      <rPr>
        <sz val="9.5"/>
        <color rgb="FF6B7B8A"/>
        <rFont val="Arial"/>
        <family val="0"/>
        <charset val="1"/>
      </rPr>
      <t xml:space="preserve">A</t>
    </r>
    <r>
      <rPr>
        <sz val="9.5"/>
        <color rgb="FF6B7B8A"/>
        <rFont val="WenQuanYi Zen Hei"/>
        <family val="2"/>
      </rPr>
      <t xml:space="preserve">列の「制作対象」に </t>
    </r>
    <r>
      <rPr>
        <sz val="9.5"/>
        <color rgb="FF6B7B8A"/>
        <rFont val="Arial"/>
        <family val="0"/>
        <charset val="1"/>
      </rPr>
      <t xml:space="preserve">1 </t>
    </r>
    <r>
      <rPr>
        <sz val="9.5"/>
        <color rgb="FF6B7B8A"/>
        <rFont val="WenQuanYi Zen Hei"/>
        <family val="2"/>
      </rPr>
      <t xml:space="preserve">を入れた科目だけが集計されます。</t>
    </r>
  </si>
  <si>
    <t xml:space="preserve">単価設定（黄色セルを編集してください）</t>
  </si>
  <si>
    <r>
      <rPr>
        <b val="true"/>
        <sz val="10"/>
        <color rgb="FF000000"/>
        <rFont val="WenQuanYi Zen Hei"/>
        <family val="2"/>
      </rPr>
      <t xml:space="preserve">教材制作単価（学科</t>
    </r>
    <r>
      <rPr>
        <b val="true"/>
        <sz val="10"/>
        <color rgb="FF000000"/>
        <rFont val="Arial"/>
        <family val="0"/>
        <charset val="1"/>
      </rPr>
      <t xml:space="preserve">1</t>
    </r>
    <r>
      <rPr>
        <b val="true"/>
        <sz val="10"/>
        <color rgb="FF000000"/>
        <rFont val="WenQuanYi Zen Hei"/>
        <family val="2"/>
      </rPr>
      <t xml:space="preserve">時間あたり）</t>
    </r>
  </si>
  <si>
    <r>
      <rPr>
        <sz val="8.5"/>
        <color rgb="FF4A5A68"/>
        <rFont val="WenQuanYi Zen Hei"/>
        <family val="2"/>
      </rPr>
      <t xml:space="preserve">構成台本の書き起こし、スライド制作、図解アニメーション、</t>
    </r>
    <r>
      <rPr>
        <sz val="8.5"/>
        <color rgb="FF4A5A68"/>
        <rFont val="Arial"/>
        <family val="0"/>
        <charset val="1"/>
      </rPr>
      <t xml:space="preserve">AI</t>
    </r>
    <r>
      <rPr>
        <sz val="8.5"/>
        <color rgb="FF4A5A68"/>
        <rFont val="WenQuanYi Zen Hei"/>
        <family val="2"/>
      </rPr>
      <t xml:space="preserve">音声ナレーション、バーチャル講師映像、編集、書き出しまで。撮影は行いません。</t>
    </r>
  </si>
  <si>
    <r>
      <rPr>
        <b val="true"/>
        <sz val="10"/>
        <color rgb="FF000000"/>
        <rFont val="WenQuanYi Zen Hei"/>
        <family val="2"/>
      </rPr>
      <t xml:space="preserve">専門家による監修費（</t>
    </r>
    <r>
      <rPr>
        <b val="true"/>
        <sz val="10"/>
        <color rgb="FF000000"/>
        <rFont val="Arial"/>
        <family val="0"/>
        <charset val="1"/>
      </rPr>
      <t xml:space="preserve">1</t>
    </r>
    <r>
      <rPr>
        <b val="true"/>
        <sz val="10"/>
        <color rgb="FF000000"/>
        <rFont val="WenQuanYi Zen Hei"/>
        <family val="2"/>
      </rPr>
      <t xml:space="preserve">科目あたり）</t>
    </r>
  </si>
  <si>
    <t xml:space="preserve">労働安全衛生コンサルタント等の第三者監修。法定の科目・範囲・時間を満たしていることを、監修者名を明示して確認します。</t>
  </si>
  <si>
    <r>
      <rPr>
        <b val="true"/>
        <sz val="10"/>
        <color rgb="FF000000"/>
        <rFont val="WenQuanYi Zen Hei"/>
        <family val="2"/>
      </rPr>
      <t xml:space="preserve">理解度テスト制作（</t>
    </r>
    <r>
      <rPr>
        <b val="true"/>
        <sz val="10"/>
        <color rgb="FF000000"/>
        <rFont val="Arial"/>
        <family val="0"/>
        <charset val="1"/>
      </rPr>
      <t xml:space="preserve">1</t>
    </r>
    <r>
      <rPr>
        <b val="true"/>
        <sz val="10"/>
        <color rgb="FF000000"/>
        <rFont val="WenQuanYi Zen Hei"/>
        <family val="2"/>
      </rPr>
      <t xml:space="preserve">科目あたり）</t>
    </r>
  </si>
  <si>
    <t xml:space="preserve">章末テストおよび修了確認テストの問題作成・解説文の作成。</t>
  </si>
  <si>
    <r>
      <rPr>
        <b val="true"/>
        <sz val="10"/>
        <color rgb="FF16324F"/>
        <rFont val="WenQuanYi Zen Hei"/>
        <family val="2"/>
      </rPr>
      <t xml:space="preserve">参考：制作グレード別の単価目安（学科</t>
    </r>
    <r>
      <rPr>
        <b val="true"/>
        <sz val="10"/>
        <color rgb="FF16324F"/>
        <rFont val="Arial"/>
        <family val="0"/>
        <charset val="1"/>
      </rPr>
      <t xml:space="preserve">1</t>
    </r>
    <r>
      <rPr>
        <b val="true"/>
        <sz val="10"/>
        <color rgb="FF16324F"/>
        <rFont val="WenQuanYi Zen Hei"/>
        <family val="2"/>
      </rPr>
      <t xml:space="preserve">時間あたり）</t>
    </r>
  </si>
  <si>
    <t xml:space="preserve">グレード</t>
  </si>
  <si>
    <r>
      <rPr>
        <b val="true"/>
        <sz val="10"/>
        <color rgb="FFFFFFFF"/>
        <rFont val="WenQuanYi Zen Hei"/>
        <family val="2"/>
      </rPr>
      <t xml:space="preserve">単価</t>
    </r>
    <r>
      <rPr>
        <b val="true"/>
        <sz val="10"/>
        <color rgb="FFFFFFFF"/>
        <rFont val="Arial"/>
        <family val="0"/>
        <charset val="1"/>
      </rPr>
      <t xml:space="preserve">/</t>
    </r>
    <r>
      <rPr>
        <b val="true"/>
        <sz val="10"/>
        <color rgb="FFFFFFFF"/>
        <rFont val="WenQuanYi Zen Hei"/>
        <family val="2"/>
      </rPr>
      <t xml:space="preserve">時間</t>
    </r>
  </si>
  <si>
    <t xml:space="preserve">内容</t>
  </si>
  <si>
    <t xml:space="preserve">ライト</t>
  </si>
  <si>
    <r>
      <rPr>
        <sz val="8.5"/>
        <color rgb="FF4A5A68"/>
        <rFont val="WenQuanYi Zen Hei"/>
        <family val="2"/>
      </rPr>
      <t xml:space="preserve">スライド＋</t>
    </r>
    <r>
      <rPr>
        <sz val="8.5"/>
        <color rgb="FF4A5A68"/>
        <rFont val="Arial"/>
        <family val="0"/>
        <charset val="1"/>
      </rPr>
      <t xml:space="preserve">AI</t>
    </r>
    <r>
      <rPr>
        <sz val="8.5"/>
        <color rgb="FF4A5A68"/>
        <rFont val="WenQuanYi Zen Hei"/>
        <family val="2"/>
      </rPr>
      <t xml:space="preserve">音声ナレーションのみ。図解は静止画。最も安価だが受講者の離脱率が上がりやすい。</t>
    </r>
  </si>
  <si>
    <t xml:space="preserve">スタンダード（推奨）</t>
  </si>
  <si>
    <r>
      <rPr>
        <sz val="8.5"/>
        <color rgb="FF4A5A68"/>
        <rFont val="WenQuanYi Zen Hei"/>
        <family val="2"/>
      </rPr>
      <t xml:space="preserve">スライド＋図解アニメーション＋</t>
    </r>
    <r>
      <rPr>
        <sz val="8.5"/>
        <color rgb="FF4A5A68"/>
        <rFont val="Arial"/>
        <family val="0"/>
        <charset val="1"/>
      </rPr>
      <t xml:space="preserve">AI</t>
    </r>
    <r>
      <rPr>
        <sz val="8.5"/>
        <color rgb="FF4A5A68"/>
        <rFont val="WenQuanYi Zen Hei"/>
        <family val="2"/>
      </rPr>
      <t xml:space="preserve">音声＋バーチャル講師。長時間の視聴に耐える構成。</t>
    </r>
  </si>
  <si>
    <t xml:space="preserve">プレミアム</t>
  </si>
  <si>
    <r>
      <rPr>
        <sz val="8.5"/>
        <color rgb="FF4A5A68"/>
        <rFont val="WenQuanYi Zen Hei"/>
        <family val="2"/>
      </rPr>
      <t xml:space="preserve">実写素材・</t>
    </r>
    <r>
      <rPr>
        <sz val="8.5"/>
        <color rgb="FF4A5A68"/>
        <rFont val="Arial"/>
        <family val="0"/>
        <charset val="1"/>
      </rPr>
      <t xml:space="preserve">3D</t>
    </r>
    <r>
      <rPr>
        <sz val="8.5"/>
        <color rgb="FF4A5A68"/>
        <rFont val="WenQuanYi Zen Hei"/>
        <family val="2"/>
      </rPr>
      <t xml:space="preserve">図解・章ごとの演習を含む。差別化を最優先する場合。</t>
    </r>
  </si>
  <si>
    <r>
      <rPr>
        <b val="true"/>
        <sz val="10"/>
        <color rgb="FF16324F"/>
        <rFont val="WenQuanYi Zen Hei"/>
        <family val="2"/>
      </rPr>
      <t xml:space="preserve">科目別の試算（</t>
    </r>
    <r>
      <rPr>
        <b val="true"/>
        <sz val="10"/>
        <color rgb="FF16324F"/>
        <rFont val="Arial"/>
        <family val="0"/>
        <charset val="1"/>
      </rPr>
      <t xml:space="preserve">A</t>
    </r>
    <r>
      <rPr>
        <b val="true"/>
        <sz val="10"/>
        <color rgb="FF16324F"/>
        <rFont val="WenQuanYi Zen Hei"/>
        <family val="2"/>
      </rPr>
      <t xml:space="preserve">列に </t>
    </r>
    <r>
      <rPr>
        <b val="true"/>
        <sz val="10"/>
        <color rgb="FF16324F"/>
        <rFont val="Arial"/>
        <family val="0"/>
        <charset val="1"/>
      </rPr>
      <t xml:space="preserve">1 </t>
    </r>
    <r>
      <rPr>
        <b val="true"/>
        <sz val="10"/>
        <color rgb="FF16324F"/>
        <rFont val="WenQuanYi Zen Hei"/>
        <family val="2"/>
      </rPr>
      <t xml:space="preserve">を入力した科目のみ集計されます）</t>
    </r>
  </si>
  <si>
    <r>
      <rPr>
        <b val="true"/>
        <sz val="10"/>
        <color rgb="FFFFFFFF"/>
        <rFont val="WenQuanYi Zen Hei"/>
        <family val="2"/>
      </rPr>
      <t xml:space="preserve">制作対象
</t>
    </r>
    <r>
      <rPr>
        <b val="true"/>
        <sz val="10"/>
        <color rgb="FFFFFFFF"/>
        <rFont val="Arial"/>
        <family val="0"/>
        <charset val="1"/>
      </rPr>
      <t xml:space="preserve">(1</t>
    </r>
    <r>
      <rPr>
        <b val="true"/>
        <sz val="10"/>
        <color rgb="FFFFFFFF"/>
        <rFont val="WenQuanYi Zen Hei"/>
        <family val="2"/>
      </rPr>
      <t xml:space="preserve">で選択</t>
    </r>
    <r>
      <rPr>
        <b val="true"/>
        <sz val="10"/>
        <color rgb="FFFFFFFF"/>
        <rFont val="Arial"/>
        <family val="0"/>
        <charset val="1"/>
      </rPr>
      <t xml:space="preserve">)</t>
    </r>
  </si>
  <si>
    <t xml:space="preserve">教材制作費</t>
  </si>
  <si>
    <t xml:space="preserve">監修費</t>
  </si>
  <si>
    <t xml:space="preserve">テスト制作費</t>
  </si>
  <si>
    <t xml:space="preserve">科目 小計</t>
  </si>
  <si>
    <t xml:space="preserve">合計（選択した科目数・時間・費用）</t>
  </si>
  <si>
    <t xml:space="preserve">■ 教材制作の進め方（撮影は行いません）</t>
  </si>
  <si>
    <r>
      <rPr>
        <sz val="9.5"/>
        <color rgb="FF4A5A68"/>
        <rFont val="Arial"/>
        <family val="0"/>
        <charset val="1"/>
      </rPr>
      <t xml:space="preserve">1. </t>
    </r>
    <r>
      <rPr>
        <sz val="9.5"/>
        <color rgb="FF4A5A68"/>
        <rFont val="WenQuanYi Zen Hei"/>
        <family val="2"/>
      </rPr>
      <t xml:space="preserve">法定の科目・範囲・時間を規程の原典から書き出し、章立てと各章の尺を設計します（ここで法定時間の充足を担保します）。</t>
    </r>
  </si>
  <si>
    <r>
      <rPr>
        <sz val="9.5"/>
        <color rgb="FF4A5A68"/>
        <rFont val="Arial"/>
        <family val="0"/>
        <charset val="1"/>
      </rPr>
      <t xml:space="preserve">2. </t>
    </r>
    <r>
      <rPr>
        <sz val="9.5"/>
        <color rgb="FF4A5A68"/>
        <rFont val="WenQuanYi Zen Hei"/>
        <family val="2"/>
      </rPr>
      <t xml:space="preserve">構成台本を一から書き起こします。他社の講義映像や市販冊子をそのまま使うことは著作権法上できません。</t>
    </r>
  </si>
  <si>
    <r>
      <rPr>
        <sz val="9.5"/>
        <color rgb="FF4A5A68"/>
        <rFont val="Arial"/>
        <family val="0"/>
        <charset val="1"/>
      </rPr>
      <t xml:space="preserve">3. </t>
    </r>
    <r>
      <rPr>
        <sz val="9.5"/>
        <color rgb="FF4A5A68"/>
        <rFont val="WenQuanYi Zen Hei"/>
        <family val="2"/>
      </rPr>
      <t xml:space="preserve">スライド・図解を制作し、</t>
    </r>
    <r>
      <rPr>
        <sz val="9.5"/>
        <color rgb="FF4A5A68"/>
        <rFont val="Arial"/>
        <family val="0"/>
        <charset val="1"/>
      </rPr>
      <t xml:space="preserve">AI</t>
    </r>
    <r>
      <rPr>
        <sz val="9.5"/>
        <color rgb="FF4A5A68"/>
        <rFont val="WenQuanYi Zen Hei"/>
        <family val="2"/>
      </rPr>
      <t xml:space="preserve">音声ナレーションとバーチャル講師映像を合成します。</t>
    </r>
  </si>
  <si>
    <r>
      <rPr>
        <sz val="9.5"/>
        <color rgb="FF4A5A68"/>
        <rFont val="Arial"/>
        <family val="0"/>
        <charset val="1"/>
      </rPr>
      <t xml:space="preserve">4. </t>
    </r>
    <r>
      <rPr>
        <sz val="9.5"/>
        <color rgb="FF4A5A68"/>
        <rFont val="WenQuanYi Zen Hei"/>
        <family val="2"/>
      </rPr>
      <t xml:space="preserve">章末テストと修了確認テストを作成します。</t>
    </r>
  </si>
  <si>
    <r>
      <rPr>
        <sz val="9.5"/>
        <color rgb="FF4A5A68"/>
        <rFont val="Arial"/>
        <family val="0"/>
        <charset val="1"/>
      </rPr>
      <t xml:space="preserve">5. </t>
    </r>
    <r>
      <rPr>
        <sz val="9.5"/>
        <color rgb="FF4A5A68"/>
        <rFont val="WenQuanYi Zen Hei"/>
        <family val="2"/>
      </rPr>
      <t xml:space="preserve">第三者の専門家が監修し、法定の科目・範囲・時間を満たしていることを監修者名を明示して確認します。</t>
    </r>
  </si>
  <si>
    <r>
      <rPr>
        <b val="true"/>
        <sz val="9.5"/>
        <color rgb="FF16324F"/>
        <rFont val="Arial"/>
        <family val="0"/>
        <charset val="1"/>
      </rPr>
      <t xml:space="preserve">■ 2</t>
    </r>
    <r>
      <rPr>
        <b val="true"/>
        <sz val="9.5"/>
        <color rgb="FF16324F"/>
        <rFont val="WenQuanYi Zen Hei"/>
        <family val="2"/>
      </rPr>
      <t xml:space="preserve">科目目以降について</t>
    </r>
  </si>
  <si>
    <r>
      <rPr>
        <sz val="9.5"/>
        <color rgb="FF4A5A68"/>
        <rFont val="WenQuanYi Zen Hei"/>
        <family val="2"/>
      </rPr>
      <t xml:space="preserve">・章立てのテンプレート、スライドのデザイン、動画の書き出し設定は</t>
    </r>
    <r>
      <rPr>
        <sz val="9.5"/>
        <color rgb="FF4A5A68"/>
        <rFont val="Arial"/>
        <family val="0"/>
        <charset val="1"/>
      </rPr>
      <t xml:space="preserve">1</t>
    </r>
    <r>
      <rPr>
        <sz val="9.5"/>
        <color rgb="FF4A5A68"/>
        <rFont val="WenQuanYi Zen Hei"/>
        <family val="2"/>
      </rPr>
      <t xml:space="preserve">科目目で確立するため、</t>
    </r>
    <r>
      <rPr>
        <sz val="9.5"/>
        <color rgb="FF4A5A68"/>
        <rFont val="Arial"/>
        <family val="0"/>
        <charset val="1"/>
      </rPr>
      <t xml:space="preserve">2</t>
    </r>
    <r>
      <rPr>
        <sz val="9.5"/>
        <color rgb="FF4A5A68"/>
        <rFont val="WenQuanYi Zen Hei"/>
        <family val="2"/>
      </rPr>
      <t xml:space="preserve">科目目以降は制作単価を抑えられます。</t>
    </r>
  </si>
  <si>
    <r>
      <rPr>
        <sz val="9.5"/>
        <color rgb="FF4A5A68"/>
        <rFont val="WenQuanYi Zen Hei"/>
        <family val="2"/>
      </rPr>
      <t xml:space="preserve">・目安として、</t>
    </r>
    <r>
      <rPr>
        <sz val="9.5"/>
        <color rgb="FF4A5A68"/>
        <rFont val="Arial"/>
        <family val="0"/>
        <charset val="1"/>
      </rPr>
      <t xml:space="preserve">2</t>
    </r>
    <r>
      <rPr>
        <sz val="9.5"/>
        <color rgb="FF4A5A68"/>
        <rFont val="WenQuanYi Zen Hei"/>
        <family val="2"/>
      </rPr>
      <t xml:space="preserve">科目目以降は上表の</t>
    </r>
    <r>
      <rPr>
        <sz val="9.5"/>
        <color rgb="FF4A5A68"/>
        <rFont val="Arial"/>
        <family val="0"/>
        <charset val="1"/>
      </rPr>
      <t xml:space="preserve">8</t>
    </r>
    <r>
      <rPr>
        <sz val="9.5"/>
        <color rgb="FF4A5A68"/>
        <rFont val="WenQuanYi Zen Hei"/>
        <family val="2"/>
      </rPr>
      <t xml:space="preserve">割程度を想定してください（監修費は科目ごとに必要です）。</t>
    </r>
  </si>
  <si>
    <t xml:space="preserve">配信システムの概算費用</t>
  </si>
  <si>
    <t xml:space="preserve">実技会場の予約機能が不要になったため、前回ご提示分より構成を絞っています。</t>
  </si>
  <si>
    <t xml:space="preserve">区分</t>
  </si>
  <si>
    <t xml:space="preserve">機能</t>
  </si>
  <si>
    <r>
      <rPr>
        <b val="true"/>
        <sz val="10"/>
        <color rgb="FF16324F"/>
        <rFont val="WenQuanYi Zen Hei"/>
        <family val="2"/>
      </rPr>
      <t xml:space="preserve">フェーズ</t>
    </r>
    <r>
      <rPr>
        <b val="true"/>
        <sz val="10"/>
        <color rgb="FF16324F"/>
        <rFont val="Arial"/>
        <family val="0"/>
        <charset val="1"/>
      </rPr>
      <t xml:space="preserve">1</t>
    </r>
  </si>
  <si>
    <t xml:space="preserve">要件定義・基本設計</t>
  </si>
  <si>
    <t xml:space="preserve">業務フローの確定、画面設計、利用規約・特定商取引法表記・個人情報の取扱い方針の整備支援</t>
  </si>
  <si>
    <t xml:space="preserve">受講者ポータル</t>
  </si>
  <si>
    <t xml:space="preserve">アカウント登録、マイページ、受講状況の表示、スマートフォン対応</t>
  </si>
  <si>
    <t xml:space="preserve">本人確認・顔照合</t>
  </si>
  <si>
    <t xml:space="preserve">本人確認書類のアップロード、顔写真の登録、受講中のランダム自撮り撮影と照合、運営による承認フロー</t>
  </si>
  <si>
    <t xml:space="preserve">動画配信・視聴ログ</t>
  </si>
  <si>
    <t xml:space="preserve">学科動画の配信、スキップ・早送りの禁止、視聴時間の秒単位記録（法定時間の充足を証明）</t>
  </si>
  <si>
    <t xml:space="preserve">テスト・自動採点</t>
  </si>
  <si>
    <t xml:space="preserve">章末テスト（不合格なら次章に進めない制御）、修了確認テスト、自動採点</t>
  </si>
  <si>
    <t xml:space="preserve">修了証の発行</t>
  </si>
  <si>
    <r>
      <rPr>
        <sz val="9"/>
        <color rgb="FF4A5A68"/>
        <rFont val="Arial"/>
        <family val="0"/>
        <charset val="1"/>
      </rPr>
      <t xml:space="preserve">PDF</t>
    </r>
    <r>
      <rPr>
        <sz val="9"/>
        <color rgb="FF4A5A68"/>
        <rFont val="WenQuanYi Zen Hei"/>
        <family val="2"/>
      </rPr>
      <t xml:space="preserve">修了証の自動発行、再ダウンロード、発行履歴の管理</t>
    </r>
  </si>
  <si>
    <r>
      <rPr>
        <b val="true"/>
        <sz val="10"/>
        <color rgb="FF6B7B8A"/>
        <rFont val="WenQuanYi Zen Hei"/>
        <family val="2"/>
      </rPr>
      <t xml:space="preserve">フェーズ</t>
    </r>
    <r>
      <rPr>
        <b val="true"/>
        <sz val="10"/>
        <color rgb="FF6B7B8A"/>
        <rFont val="Arial"/>
        <family val="0"/>
        <charset val="1"/>
      </rPr>
      <t xml:space="preserve">2</t>
    </r>
  </si>
  <si>
    <t xml:space="preserve">企業管理ポータル</t>
  </si>
  <si>
    <r>
      <rPr>
        <sz val="9"/>
        <color rgb="FF4A5A68"/>
        <rFont val="WenQuanYi Zen Hei"/>
        <family val="2"/>
      </rPr>
      <t xml:space="preserve">発注企業のご担当者向け。従業員の一括申込、受講進捗の確認、修了者一覧の</t>
    </r>
    <r>
      <rPr>
        <sz val="9"/>
        <color rgb="FF4A5A68"/>
        <rFont val="Arial"/>
        <family val="0"/>
        <charset val="1"/>
      </rPr>
      <t xml:space="preserve">CSV</t>
    </r>
    <r>
      <rPr>
        <sz val="9"/>
        <color rgb="FF4A5A68"/>
        <rFont val="WenQuanYi Zen Hei"/>
        <family val="2"/>
      </rPr>
      <t xml:space="preserve">出力</t>
    </r>
  </si>
  <si>
    <t xml:space="preserve">決済（カード・請求書）</t>
  </si>
  <si>
    <t xml:space="preserve">クレジットカード決済、請求書払い、領収書の発行</t>
  </si>
  <si>
    <t xml:space="preserve">運営管理画面の拡張</t>
  </si>
  <si>
    <t xml:space="preserve">本人確認の承認キュー、顔照合アラート、受講ログの照会、売上・入金の管理</t>
  </si>
  <si>
    <r>
      <rPr>
        <sz val="10"/>
        <color rgb="FF000000"/>
        <rFont val="WenQuanYi Zen Hei"/>
        <family val="2"/>
      </rPr>
      <t xml:space="preserve">記録保存・</t>
    </r>
    <r>
      <rPr>
        <sz val="10"/>
        <color rgb="FF000000"/>
        <rFont val="Arial"/>
        <family val="0"/>
        <charset val="1"/>
      </rPr>
      <t xml:space="preserve">CSV</t>
    </r>
    <r>
      <rPr>
        <sz val="10"/>
        <color rgb="FF000000"/>
        <rFont val="WenQuanYi Zen Hei"/>
        <family val="2"/>
      </rPr>
      <t xml:space="preserve">出力</t>
    </r>
  </si>
  <si>
    <r>
      <rPr>
        <sz val="9"/>
        <color rgb="FF4A5A68"/>
        <rFont val="WenQuanYi Zen Hei"/>
        <family val="2"/>
      </rPr>
      <t xml:space="preserve">労働安全衛生規則第</t>
    </r>
    <r>
      <rPr>
        <sz val="9"/>
        <color rgb="FF4A5A68"/>
        <rFont val="Arial"/>
        <family val="0"/>
        <charset val="1"/>
      </rPr>
      <t xml:space="preserve">38</t>
    </r>
    <r>
      <rPr>
        <sz val="9"/>
        <color rgb="FF4A5A68"/>
        <rFont val="WenQuanYi Zen Hei"/>
        <family val="2"/>
      </rPr>
      <t xml:space="preserve">条に対応した</t>
    </r>
    <r>
      <rPr>
        <sz val="9"/>
        <color rgb="FF4A5A68"/>
        <rFont val="Arial"/>
        <family val="0"/>
        <charset val="1"/>
      </rPr>
      <t xml:space="preserve">3</t>
    </r>
    <r>
      <rPr>
        <sz val="9"/>
        <color rgb="FF4A5A68"/>
        <rFont val="WenQuanYi Zen Hei"/>
        <family val="2"/>
      </rPr>
      <t xml:space="preserve">年以上の自動保存、一括出力</t>
    </r>
  </si>
  <si>
    <r>
      <rPr>
        <b val="true"/>
        <sz val="10"/>
        <color rgb="FF000000"/>
        <rFont val="WenQuanYi Zen Hei"/>
        <family val="2"/>
      </rPr>
      <t xml:space="preserve">フェーズ</t>
    </r>
    <r>
      <rPr>
        <b val="true"/>
        <sz val="10"/>
        <color rgb="FF000000"/>
        <rFont val="Arial"/>
        <family val="0"/>
        <charset val="1"/>
      </rPr>
      <t xml:space="preserve">1 </t>
    </r>
    <r>
      <rPr>
        <b val="true"/>
        <sz val="10"/>
        <color rgb="FF000000"/>
        <rFont val="WenQuanYi Zen Hei"/>
        <family val="2"/>
      </rPr>
      <t xml:space="preserve">小計（まずここから始めます）</t>
    </r>
  </si>
  <si>
    <r>
      <rPr>
        <b val="true"/>
        <sz val="10"/>
        <color rgb="FF000000"/>
        <rFont val="WenQuanYi Zen Hei"/>
        <family val="2"/>
      </rPr>
      <t xml:space="preserve">フェーズ</t>
    </r>
    <r>
      <rPr>
        <b val="true"/>
        <sz val="10"/>
        <color rgb="FF000000"/>
        <rFont val="Arial"/>
        <family val="0"/>
        <charset val="1"/>
      </rPr>
      <t xml:space="preserve">2 </t>
    </r>
    <r>
      <rPr>
        <b val="true"/>
        <sz val="10"/>
        <color rgb="FF000000"/>
        <rFont val="WenQuanYi Zen Hei"/>
        <family val="2"/>
      </rPr>
      <t xml:space="preserve">小計（運用開始後に追加）</t>
    </r>
  </si>
  <si>
    <t xml:space="preserve">システム初期費用 合計</t>
  </si>
  <si>
    <t xml:space="preserve">月額運用費</t>
  </si>
  <si>
    <r>
      <rPr>
        <b val="true"/>
        <sz val="10"/>
        <color rgb="FFFFFFFF"/>
        <rFont val="WenQuanYi Zen Hei"/>
        <family val="2"/>
      </rPr>
      <t xml:space="preserve">月額</t>
    </r>
    <r>
      <rPr>
        <b val="true"/>
        <sz val="10"/>
        <color rgb="FFFFFFFF"/>
        <rFont val="Arial"/>
        <family val="0"/>
        <charset val="1"/>
      </rPr>
      <t xml:space="preserve">(</t>
    </r>
    <r>
      <rPr>
        <b val="true"/>
        <sz val="10"/>
        <color rgb="FFFFFFFF"/>
        <rFont val="WenQuanYi Zen Hei"/>
        <family val="2"/>
      </rPr>
      <t xml:space="preserve">下限</t>
    </r>
    <r>
      <rPr>
        <b val="true"/>
        <sz val="10"/>
        <color rgb="FFFFFFFF"/>
        <rFont val="Arial"/>
        <family val="0"/>
        <charset val="1"/>
      </rPr>
      <t xml:space="preserve">)</t>
    </r>
  </si>
  <si>
    <r>
      <rPr>
        <b val="true"/>
        <sz val="10"/>
        <color rgb="FFFFFFFF"/>
        <rFont val="WenQuanYi Zen Hei"/>
        <family val="2"/>
      </rPr>
      <t xml:space="preserve">月額</t>
    </r>
    <r>
      <rPr>
        <b val="true"/>
        <sz val="10"/>
        <color rgb="FFFFFFFF"/>
        <rFont val="Arial"/>
        <family val="0"/>
        <charset val="1"/>
      </rPr>
      <t xml:space="preserve">(</t>
    </r>
    <r>
      <rPr>
        <b val="true"/>
        <sz val="10"/>
        <color rgb="FFFFFFFF"/>
        <rFont val="WenQuanYi Zen Hei"/>
        <family val="2"/>
      </rPr>
      <t xml:space="preserve">上限</t>
    </r>
    <r>
      <rPr>
        <b val="true"/>
        <sz val="10"/>
        <color rgb="FFFFFFFF"/>
        <rFont val="Arial"/>
        <family val="0"/>
        <charset val="1"/>
      </rPr>
      <t xml:space="preserve">)</t>
    </r>
  </si>
  <si>
    <t xml:space="preserve">サーバー・インフラ</t>
  </si>
  <si>
    <t xml:space="preserve">クラウド利用料。受講者数の増加に応じて変動します</t>
  </si>
  <si>
    <t xml:space="preserve">保守・障害対応</t>
  </si>
  <si>
    <t xml:space="preserve">監視、障害対応、軽微な改修</t>
  </si>
  <si>
    <r>
      <rPr>
        <sz val="10"/>
        <color rgb="FF000000"/>
        <rFont val="WenQuanYi Zen Hei"/>
        <family val="2"/>
      </rPr>
      <t xml:space="preserve">本人確認</t>
    </r>
    <r>
      <rPr>
        <sz val="10"/>
        <color rgb="FF000000"/>
        <rFont val="Arial"/>
        <family val="0"/>
        <charset val="1"/>
      </rPr>
      <t xml:space="preserve">API</t>
    </r>
    <r>
      <rPr>
        <sz val="10"/>
        <color rgb="FF000000"/>
        <rFont val="WenQuanYi Zen Hei"/>
        <family val="2"/>
      </rPr>
      <t xml:space="preserve">（従量）</t>
    </r>
  </si>
  <si>
    <r>
      <rPr>
        <sz val="9"/>
        <color rgb="FF4A5A68"/>
        <rFont val="Arial"/>
        <family val="0"/>
        <charset val="1"/>
      </rPr>
      <t xml:space="preserve">1</t>
    </r>
    <r>
      <rPr>
        <sz val="9"/>
        <color rgb="FF4A5A68"/>
        <rFont val="WenQuanYi Zen Hei"/>
        <family val="2"/>
      </rPr>
      <t xml:space="preserve">件あたり</t>
    </r>
    <r>
      <rPr>
        <sz val="9"/>
        <color rgb="FF4A5A68"/>
        <rFont val="Arial"/>
        <family val="0"/>
        <charset val="1"/>
      </rPr>
      <t xml:space="preserve">100</t>
    </r>
    <r>
      <rPr>
        <sz val="9"/>
        <color rgb="FF4A5A68"/>
        <rFont val="WenQuanYi Zen Hei"/>
        <family val="2"/>
      </rPr>
      <t xml:space="preserve">〜</t>
    </r>
    <r>
      <rPr>
        <sz val="9"/>
        <color rgb="FF4A5A68"/>
        <rFont val="Arial"/>
        <family val="0"/>
        <charset val="1"/>
      </rPr>
      <t xml:space="preserve">200</t>
    </r>
    <r>
      <rPr>
        <sz val="9"/>
        <color rgb="FF4A5A68"/>
        <rFont val="WenQuanYi Zen Hei"/>
        <family val="2"/>
      </rPr>
      <t xml:space="preserve">円程度。受講申込者数に比例します</t>
    </r>
  </si>
  <si>
    <t xml:space="preserve">動画配信（従量）</t>
  </si>
  <si>
    <t xml:space="preserve">視聴時間に比例。学科が長い科目ほど増えます</t>
  </si>
  <si>
    <t xml:space="preserve">月額 固定費 合計（従量分を除く）</t>
  </si>
  <si>
    <t xml:space="preserve">■ 前回ご提示分からの変更点</t>
  </si>
  <si>
    <t xml:space="preserve">・実技会場の予約機能、出欠管理機能を削除しました（実技は受講者の所属事業者が実施するため）。</t>
  </si>
  <si>
    <r>
      <rPr>
        <sz val="9.5"/>
        <color rgb="FF4A5A68"/>
        <rFont val="WenQuanYi Zen Hei"/>
        <family val="2"/>
      </rPr>
      <t xml:space="preserve">・学科のみの提供に絞ったことで、フェーズ</t>
    </r>
    <r>
      <rPr>
        <sz val="9.5"/>
        <color rgb="FF4A5A68"/>
        <rFont val="Arial"/>
        <family val="0"/>
        <charset val="1"/>
      </rPr>
      <t xml:space="preserve">1</t>
    </r>
    <r>
      <rPr>
        <sz val="9.5"/>
        <color rgb="FF4A5A68"/>
        <rFont val="WenQuanYi Zen Hei"/>
        <family val="2"/>
      </rPr>
      <t xml:space="preserve">の範囲が明確になり、着手しやすい構成になっています。</t>
    </r>
  </si>
  <si>
    <t xml:space="preserve">前提条件と、責任の分担範囲</t>
  </si>
  <si>
    <t xml:space="preserve">ご契約前に、必ずこの内容についてご合意ください。</t>
  </si>
  <si>
    <r>
      <rPr>
        <b val="true"/>
        <sz val="11.5"/>
        <color rgb="FF16324F"/>
        <rFont val="Arial"/>
        <family val="0"/>
        <charset val="1"/>
      </rPr>
      <t xml:space="preserve">■ 1. </t>
    </r>
    <r>
      <rPr>
        <b val="true"/>
        <sz val="11.5"/>
        <color rgb="FF16324F"/>
        <rFont val="WenQuanYi Zen Hei"/>
        <family val="2"/>
      </rPr>
      <t xml:space="preserve">保証する範囲と、保証しない範囲</t>
    </r>
  </si>
  <si>
    <t xml:space="preserve">○ 弊社が保証すること</t>
  </si>
  <si>
    <t xml:space="preserve">　・教材が、安全衛生特別教育規程が定める科目・範囲・時間を満たしていること。</t>
  </si>
  <si>
    <t xml:space="preserve">　・その確認を、労働安全衛生の専門家（監修者）が、氏名と資格を明示したうえで行うこと。</t>
  </si>
  <si>
    <t xml:space="preserve">　・受講の記録（受講日時、視聴時間、本人確認の結果、テストの得点）を、証明可能な形で保存・出力できること。</t>
  </si>
  <si>
    <r>
      <rPr>
        <b val="true"/>
        <sz val="9.5"/>
        <color rgb="FFB3402F"/>
        <rFont val="Arial"/>
        <family val="0"/>
        <charset val="1"/>
      </rPr>
      <t xml:space="preserve">× </t>
    </r>
    <r>
      <rPr>
        <b val="true"/>
        <sz val="9.5"/>
        <color rgb="FFB3402F"/>
        <rFont val="WenQuanYi Zen Hei"/>
        <family val="2"/>
      </rPr>
      <t xml:space="preserve">弊社が保証できないこと</t>
    </r>
  </si>
  <si>
    <r>
      <rPr>
        <sz val="9.5"/>
        <color rgb="FF1C2A38"/>
        <rFont val="WenQuanYi Zen Hei"/>
        <family val="2"/>
      </rPr>
      <t xml:space="preserve">　・受講者の所属事業者が負う、労働安全衛生法第</t>
    </r>
    <r>
      <rPr>
        <sz val="9.5"/>
        <color rgb="FF1C2A38"/>
        <rFont val="Arial"/>
        <family val="0"/>
        <charset val="1"/>
      </rPr>
      <t xml:space="preserve">59</t>
    </r>
    <r>
      <rPr>
        <sz val="9.5"/>
        <color rgb="FF1C2A38"/>
        <rFont val="WenQuanYi Zen Hei"/>
        <family val="2"/>
      </rPr>
      <t xml:space="preserve">条第</t>
    </r>
    <r>
      <rPr>
        <sz val="9.5"/>
        <color rgb="FF1C2A38"/>
        <rFont val="Arial"/>
        <family val="0"/>
        <charset val="1"/>
      </rPr>
      <t xml:space="preserve">3</t>
    </r>
    <r>
      <rPr>
        <sz val="9.5"/>
        <color rgb="FF1C2A38"/>
        <rFont val="WenQuanYi Zen Hei"/>
        <family val="2"/>
      </rPr>
      <t xml:space="preserve">項の特別教育の実施義務が果たされたこと。</t>
    </r>
  </si>
  <si>
    <t xml:space="preserve">　　この義務は法律上、受講者を雇用する事業者に課されるものであり、教材の提供者が代わりに負うことはできません。</t>
  </si>
  <si>
    <t xml:space="preserve">　・受講者が業務に従事した際に労働災害が発生しないこと。</t>
  </si>
  <si>
    <t xml:space="preserve">　・監督署その他の行政機関が、個別の事案において本教材の内容を適法と判断すること。</t>
  </si>
  <si>
    <r>
      <rPr>
        <b val="true"/>
        <sz val="11.5"/>
        <color rgb="FF16324F"/>
        <rFont val="Arial"/>
        <family val="0"/>
        <charset val="1"/>
      </rPr>
      <t xml:space="preserve">■ 2. </t>
    </r>
    <r>
      <rPr>
        <b val="true"/>
        <sz val="11.5"/>
        <color rgb="FF16324F"/>
        <rFont val="WenQuanYi Zen Hei"/>
        <family val="2"/>
      </rPr>
      <t xml:space="preserve">教材内容の監修について</t>
    </r>
  </si>
  <si>
    <t xml:space="preserve">・教材の法令適合性を確認できる専門家（労働安全衛生コンサルタント等）は、弊社が手配し、費用に含めてご提示します。</t>
  </si>
  <si>
    <t xml:space="preserve">・聖建様に、監修内容をご自身で調査・判断していただく必要はありません。</t>
  </si>
  <si>
    <r>
      <rPr>
        <sz val="9.5"/>
        <color rgb="FF1C2A38"/>
        <rFont val="WenQuanYi Zen Hei"/>
        <family val="2"/>
      </rPr>
      <t xml:space="preserve">・ただし、監修は無償では行えません。</t>
    </r>
    <r>
      <rPr>
        <sz val="9.5"/>
        <color rgb="FF1C2A38"/>
        <rFont val="Arial"/>
        <family val="0"/>
        <charset val="1"/>
      </rPr>
      <t xml:space="preserve">1</t>
    </r>
    <r>
      <rPr>
        <sz val="9.5"/>
        <color rgb="FF1C2A38"/>
        <rFont val="WenQuanYi Zen Hei"/>
        <family val="2"/>
      </rPr>
      <t xml:space="preserve">科目あたりの監修費として、お見積りに計上させていただきます。</t>
    </r>
  </si>
  <si>
    <t xml:space="preserve">・監修者の氏名・資格は教材内および修了証に明示します。これにより、第三者から根拠を問われた際に示せる状態になります。</t>
  </si>
  <si>
    <t xml:space="preserve">・弁護士による確認では代替できません。労働安全衛生教育の内容の妥当性は、法律実務ではなく安全衛生の専門領域だからです。</t>
  </si>
  <si>
    <r>
      <rPr>
        <b val="true"/>
        <sz val="11.5"/>
        <color rgb="FF16324F"/>
        <rFont val="Arial"/>
        <family val="0"/>
        <charset val="1"/>
      </rPr>
      <t xml:space="preserve">■ 3. </t>
    </r>
    <r>
      <rPr>
        <b val="true"/>
        <sz val="11.5"/>
        <color rgb="FF16324F"/>
        <rFont val="WenQuanYi Zen Hei"/>
        <family val="2"/>
      </rPr>
      <t xml:space="preserve">著作権に関する前提</t>
    </r>
  </si>
  <si>
    <t xml:space="preserve">・他社が実施する講習の映像を撮影して教材化することは、著作権法上できません。受講規約への違反にもあたります。</t>
  </si>
  <si>
    <t xml:space="preserve">・市販の冊子・テキストを原稿として利用する場合は、発行元の許諾が必要です。許諾なしでの利用はできません。</t>
  </si>
  <si>
    <t xml:space="preserve">・本お見積りは、構成台本を一から書き起こす前提です。そのため、完成した教材は聖建様が自由に利用・改訂できる資産になります。</t>
  </si>
  <si>
    <r>
      <rPr>
        <b val="true"/>
        <sz val="11.5"/>
        <color rgb="FF16324F"/>
        <rFont val="Arial"/>
        <family val="0"/>
        <charset val="1"/>
      </rPr>
      <t xml:space="preserve">■ 4. </t>
    </r>
    <r>
      <rPr>
        <b val="true"/>
        <sz val="11.5"/>
        <color rgb="FF16324F"/>
        <rFont val="WenQuanYi Zen Hei"/>
        <family val="2"/>
      </rPr>
      <t xml:space="preserve">法定教育時間の充足について</t>
    </r>
  </si>
  <si>
    <t xml:space="preserve">・法定時間は「以上」の定めです。動画の総再生時間だけで満たすのではなく、章末テスト・演習を含む総学習時間で設計します。</t>
  </si>
  <si>
    <t xml:space="preserve">・章立てと各章の尺は、制作着手前に設計書として確定させ、聖建様のご承認をいただきます。</t>
  </si>
  <si>
    <t xml:space="preserve">・この設計を飛ばして制作を始めると、完成後に時間不足が判明し、作り直しが発生します。最も費用が膨らむ失敗パターンです。</t>
  </si>
  <si>
    <r>
      <rPr>
        <b val="true"/>
        <sz val="11.5"/>
        <color rgb="FF16324F"/>
        <rFont val="Arial"/>
        <family val="0"/>
        <charset val="1"/>
      </rPr>
      <t xml:space="preserve">■ 5. </t>
    </r>
    <r>
      <rPr>
        <b val="true"/>
        <sz val="11.5"/>
        <color rgb="FF16324F"/>
        <rFont val="WenQuanYi Zen Hei"/>
        <family val="2"/>
      </rPr>
      <t xml:space="preserve">金額の前提</t>
    </r>
  </si>
  <si>
    <t xml:space="preserve">・本シートの金額は、同種案件の一般的な相場に基づく概算です。正式なお見積りは要件確定後に別途ご提示します。</t>
  </si>
  <si>
    <r>
      <rPr>
        <sz val="9.5"/>
        <color rgb="FF1C2A38"/>
        <rFont val="WenQuanYi Zen Hei"/>
        <family val="2"/>
      </rPr>
      <t xml:space="preserve">・教材制作費は「学科</t>
    </r>
    <r>
      <rPr>
        <sz val="9.5"/>
        <color rgb="FF1C2A38"/>
        <rFont val="Arial"/>
        <family val="0"/>
        <charset val="1"/>
      </rPr>
      <t xml:space="preserve">1</t>
    </r>
    <r>
      <rPr>
        <sz val="9.5"/>
        <color rgb="FF1C2A38"/>
        <rFont val="WenQuanYi Zen Hei"/>
        <family val="2"/>
      </rPr>
      <t xml:space="preserve">時間あたりの単価 </t>
    </r>
    <r>
      <rPr>
        <sz val="9.5"/>
        <color rgb="FF1C2A38"/>
        <rFont val="Arial"/>
        <family val="0"/>
        <charset val="1"/>
      </rPr>
      <t xml:space="preserve">× </t>
    </r>
    <r>
      <rPr>
        <sz val="9.5"/>
        <color rgb="FF1C2A38"/>
        <rFont val="WenQuanYi Zen Hei"/>
        <family val="2"/>
      </rPr>
      <t xml:space="preserve">法定学科時間」で算出しています。科目の学科時間が長いほど金額は上がります。</t>
    </r>
  </si>
  <si>
    <r>
      <rPr>
        <sz val="9.5"/>
        <color rgb="FF1C2A38"/>
        <rFont val="WenQuanYi Zen Hei"/>
        <family val="2"/>
      </rPr>
      <t xml:space="preserve">・撮影・スタジオ費用は含みません（バーチャル講師および</t>
    </r>
    <r>
      <rPr>
        <sz val="9.5"/>
        <color rgb="FF1C2A38"/>
        <rFont val="Arial"/>
        <family val="0"/>
        <charset val="1"/>
      </rPr>
      <t xml:space="preserve">AI</t>
    </r>
    <r>
      <rPr>
        <sz val="9.5"/>
        <color rgb="FF1C2A38"/>
        <rFont val="WenQuanYi Zen Hei"/>
        <family val="2"/>
      </rPr>
      <t xml:space="preserve">音声ナレーションを用いるため）。</t>
    </r>
  </si>
  <si>
    <r>
      <rPr>
        <sz val="9.5"/>
        <color rgb="FF1C2A38"/>
        <rFont val="WenQuanYi Zen Hei"/>
        <family val="2"/>
      </rPr>
      <t xml:space="preserve">・</t>
    </r>
    <r>
      <rPr>
        <sz val="9.5"/>
        <color rgb="FF1C2A38"/>
        <rFont val="Arial"/>
        <family val="0"/>
        <charset val="1"/>
      </rPr>
      <t xml:space="preserve">2</t>
    </r>
    <r>
      <rPr>
        <sz val="9.5"/>
        <color rgb="FF1C2A38"/>
        <rFont val="WenQuanYi Zen Hei"/>
        <family val="2"/>
      </rPr>
      <t xml:space="preserve">科目目以降は、テンプレートの再利用により制作単価を抑えられます（監修費は科目ごとに必要です）。</t>
    </r>
  </si>
  <si>
    <t xml:space="preserve">・受講者への販売価格、収支計画は本シートには含みません。別途ご相談ください。</t>
  </si>
  <si>
    <r>
      <rPr>
        <b val="true"/>
        <sz val="11.5"/>
        <color rgb="FF16324F"/>
        <rFont val="Arial"/>
        <family val="0"/>
        <charset val="1"/>
      </rPr>
      <t xml:space="preserve">■ 6. </t>
    </r>
    <r>
      <rPr>
        <b val="true"/>
        <sz val="11.5"/>
        <color rgb="FF16324F"/>
        <rFont val="WenQuanYi Zen Hei"/>
        <family val="2"/>
      </rPr>
      <t xml:space="preserve">出典</t>
    </r>
  </si>
  <si>
    <r>
      <rPr>
        <sz val="9.5"/>
        <color rgb="FF1C2A38"/>
        <rFont val="WenQuanYi Zen Hei"/>
        <family val="2"/>
      </rPr>
      <t xml:space="preserve">・安全衛生特別教育規程（昭和</t>
    </r>
    <r>
      <rPr>
        <sz val="9.5"/>
        <color rgb="FF1C2A38"/>
        <rFont val="Arial"/>
        <family val="0"/>
        <charset val="1"/>
      </rPr>
      <t xml:space="preserve">47</t>
    </r>
    <r>
      <rPr>
        <sz val="9.5"/>
        <color rgb="FF1C2A38"/>
        <rFont val="WenQuanYi Zen Hei"/>
        <family val="2"/>
      </rPr>
      <t xml:space="preserve">年</t>
    </r>
    <r>
      <rPr>
        <sz val="9.5"/>
        <color rgb="FF1C2A38"/>
        <rFont val="Arial"/>
        <family val="0"/>
        <charset val="1"/>
      </rPr>
      <t xml:space="preserve">9</t>
    </r>
    <r>
      <rPr>
        <sz val="9.5"/>
        <color rgb="FF1C2A38"/>
        <rFont val="WenQuanYi Zen Hei"/>
        <family val="2"/>
      </rPr>
      <t xml:space="preserve">月</t>
    </r>
    <r>
      <rPr>
        <sz val="9.5"/>
        <color rgb="FF1C2A38"/>
        <rFont val="Arial"/>
        <family val="0"/>
        <charset val="1"/>
      </rPr>
      <t xml:space="preserve">30</t>
    </r>
    <r>
      <rPr>
        <sz val="9.5"/>
        <color rgb="FF1C2A38"/>
        <rFont val="WenQuanYi Zen Hei"/>
        <family val="2"/>
      </rPr>
      <t xml:space="preserve">日 労働省告示第</t>
    </r>
    <r>
      <rPr>
        <sz val="9.5"/>
        <color rgb="FF1C2A38"/>
        <rFont val="Arial"/>
        <family val="0"/>
        <charset val="1"/>
      </rPr>
      <t xml:space="preserve">92</t>
    </r>
    <r>
      <rPr>
        <sz val="9.5"/>
        <color rgb="FF1C2A38"/>
        <rFont val="WenQuanYi Zen Hei"/>
        <family val="2"/>
      </rPr>
      <t xml:space="preserve">号）</t>
    </r>
  </si>
  <si>
    <r>
      <rPr>
        <sz val="9.5"/>
        <color rgb="FF1C2A38"/>
        <rFont val="WenQuanYi Zen Hei"/>
        <family val="2"/>
      </rPr>
      <t xml:space="preserve">・酸素欠乏危険作業特別教育規程（昭和</t>
    </r>
    <r>
      <rPr>
        <sz val="9.5"/>
        <color rgb="FF1C2A38"/>
        <rFont val="Arial"/>
        <family val="0"/>
        <charset val="1"/>
      </rPr>
      <t xml:space="preserve">47</t>
    </r>
    <r>
      <rPr>
        <sz val="9.5"/>
        <color rgb="FF1C2A38"/>
        <rFont val="WenQuanYi Zen Hei"/>
        <family val="2"/>
      </rPr>
      <t xml:space="preserve">年</t>
    </r>
    <r>
      <rPr>
        <sz val="9.5"/>
        <color rgb="FF1C2A38"/>
        <rFont val="Arial"/>
        <family val="0"/>
        <charset val="1"/>
      </rPr>
      <t xml:space="preserve">9</t>
    </r>
    <r>
      <rPr>
        <sz val="9.5"/>
        <color rgb="FF1C2A38"/>
        <rFont val="WenQuanYi Zen Hei"/>
        <family val="2"/>
      </rPr>
      <t xml:space="preserve">月</t>
    </r>
    <r>
      <rPr>
        <sz val="9.5"/>
        <color rgb="FF1C2A38"/>
        <rFont val="Arial"/>
        <family val="0"/>
        <charset val="1"/>
      </rPr>
      <t xml:space="preserve">30</t>
    </r>
    <r>
      <rPr>
        <sz val="9.5"/>
        <color rgb="FF1C2A38"/>
        <rFont val="WenQuanYi Zen Hei"/>
        <family val="2"/>
      </rPr>
      <t xml:space="preserve">日 労働省告示第</t>
    </r>
    <r>
      <rPr>
        <sz val="9.5"/>
        <color rgb="FF1C2A38"/>
        <rFont val="Arial"/>
        <family val="0"/>
        <charset val="1"/>
      </rPr>
      <t xml:space="preserve">132</t>
    </r>
    <r>
      <rPr>
        <sz val="9.5"/>
        <color rgb="FF1C2A38"/>
        <rFont val="WenQuanYi Zen Hei"/>
        <family val="2"/>
      </rPr>
      <t xml:space="preserve">号）</t>
    </r>
  </si>
  <si>
    <r>
      <rPr>
        <sz val="9.5"/>
        <color rgb="FF1C2A38"/>
        <rFont val="WenQuanYi Zen Hei"/>
        <family val="2"/>
      </rPr>
      <t xml:space="preserve">・労働安全衛生規則 第</t>
    </r>
    <r>
      <rPr>
        <sz val="9.5"/>
        <color rgb="FF1C2A38"/>
        <rFont val="Arial"/>
        <family val="0"/>
        <charset val="1"/>
      </rPr>
      <t xml:space="preserve">36</t>
    </r>
    <r>
      <rPr>
        <sz val="9.5"/>
        <color rgb="FF1C2A38"/>
        <rFont val="WenQuanYi Zen Hei"/>
        <family val="2"/>
      </rPr>
      <t xml:space="preserve">条（特別教育を必要とする業務）、第</t>
    </r>
    <r>
      <rPr>
        <sz val="9.5"/>
        <color rgb="FF1C2A38"/>
        <rFont val="Arial"/>
        <family val="0"/>
        <charset val="1"/>
      </rPr>
      <t xml:space="preserve">38</t>
    </r>
    <r>
      <rPr>
        <sz val="9.5"/>
        <color rgb="FF1C2A38"/>
        <rFont val="WenQuanYi Zen Hei"/>
        <family val="2"/>
      </rPr>
      <t xml:space="preserve">条（記録の保存・</t>
    </r>
    <r>
      <rPr>
        <sz val="9.5"/>
        <color rgb="FF1C2A38"/>
        <rFont val="Arial"/>
        <family val="0"/>
        <charset val="1"/>
      </rPr>
      <t xml:space="preserve">3</t>
    </r>
    <r>
      <rPr>
        <sz val="9.5"/>
        <color rgb="FF1C2A38"/>
        <rFont val="WenQuanYi Zen Hei"/>
        <family val="2"/>
      </rPr>
      <t xml:space="preserve">年間）</t>
    </r>
  </si>
  <si>
    <r>
      <rPr>
        <sz val="9.5"/>
        <color rgb="FF1C2A38"/>
        <rFont val="WenQuanYi Zen Hei"/>
        <family val="2"/>
      </rPr>
      <t xml:space="preserve">・インターネット等を介した</t>
    </r>
    <r>
      <rPr>
        <sz val="9.5"/>
        <color rgb="FF1C2A38"/>
        <rFont val="Arial"/>
        <family val="0"/>
        <charset val="1"/>
      </rPr>
      <t xml:space="preserve">e</t>
    </r>
    <r>
      <rPr>
        <sz val="9.5"/>
        <color rgb="FF1C2A38"/>
        <rFont val="WenQuanYi Zen Hei"/>
        <family val="2"/>
      </rPr>
      <t xml:space="preserve">ラーニング等による安全衛生教育の実施について（令和</t>
    </r>
    <r>
      <rPr>
        <sz val="9.5"/>
        <color rgb="FF1C2A38"/>
        <rFont val="Arial"/>
        <family val="0"/>
        <charset val="1"/>
      </rPr>
      <t xml:space="preserve">3</t>
    </r>
    <r>
      <rPr>
        <sz val="9.5"/>
        <color rgb="FF1C2A38"/>
        <rFont val="WenQuanYi Zen Hei"/>
        <family val="2"/>
      </rPr>
      <t xml:space="preserve">年</t>
    </r>
    <r>
      <rPr>
        <sz val="9.5"/>
        <color rgb="FF1C2A38"/>
        <rFont val="Arial"/>
        <family val="0"/>
        <charset val="1"/>
      </rPr>
      <t xml:space="preserve">1</t>
    </r>
    <r>
      <rPr>
        <sz val="9.5"/>
        <color rgb="FF1C2A38"/>
        <rFont val="WenQuanYi Zen Hei"/>
        <family val="2"/>
      </rPr>
      <t xml:space="preserve">月</t>
    </r>
    <r>
      <rPr>
        <sz val="9.5"/>
        <color rgb="FF1C2A38"/>
        <rFont val="Arial"/>
        <family val="0"/>
        <charset val="1"/>
      </rPr>
      <t xml:space="preserve">25</t>
    </r>
    <r>
      <rPr>
        <sz val="9.5"/>
        <color rgb="FF1C2A38"/>
        <rFont val="WenQuanYi Zen Hei"/>
        <family val="2"/>
      </rPr>
      <t xml:space="preserve">日 基安安発</t>
    </r>
    <r>
      <rPr>
        <sz val="9.5"/>
        <color rgb="FF1C2A38"/>
        <rFont val="Arial"/>
        <family val="0"/>
        <charset val="1"/>
      </rPr>
      <t xml:space="preserve">0125</t>
    </r>
    <r>
      <rPr>
        <sz val="9.5"/>
        <color rgb="FF1C2A38"/>
        <rFont val="WenQuanYi Zen Hei"/>
        <family val="2"/>
      </rPr>
      <t xml:space="preserve">第</t>
    </r>
    <r>
      <rPr>
        <sz val="9.5"/>
        <color rgb="FF1C2A38"/>
        <rFont val="Arial"/>
        <family val="0"/>
        <charset val="1"/>
      </rPr>
      <t xml:space="preserve">2</t>
    </r>
    <r>
      <rPr>
        <sz val="9.5"/>
        <color rgb="FF1C2A38"/>
        <rFont val="WenQuanYi Zen Hei"/>
        <family val="2"/>
      </rPr>
      <t xml:space="preserve">号 ほか）</t>
    </r>
  </si>
  <si>
    <t xml:space="preserve">・各科目の時間数は、上記規程および複数の講習機関が公表するカリキュラムで相互に確認しています。</t>
  </si>
</sst>
</file>

<file path=xl/styles.xml><?xml version="1.0" encoding="utf-8"?>
<styleSheet xmlns="http://schemas.openxmlformats.org/spreadsheetml/2006/main">
  <numFmts count="4">
    <numFmt numFmtId="164" formatCode="General"/>
    <numFmt numFmtId="165" formatCode="\¥#,##0;&quot;(¥&quot;#,##0\);\-"/>
    <numFmt numFmtId="166" formatCode="General"/>
    <numFmt numFmtId="167" formatCode="0.0&quot;時間&quot;;;\-"/>
  </numFmts>
  <fonts count="47">
    <font>
      <sz val="11"/>
      <color theme="1"/>
      <name val="Calibri"/>
      <family val="2"/>
      <charset val="1"/>
    </font>
    <font>
      <sz val="10"/>
      <name val="Arial"/>
      <family val="0"/>
    </font>
    <font>
      <sz val="10"/>
      <name val="Arial"/>
      <family val="0"/>
    </font>
    <font>
      <sz val="10"/>
      <name val="Arial"/>
      <family val="0"/>
    </font>
    <font>
      <b val="true"/>
      <sz val="16"/>
      <color rgb="FF16324F"/>
      <name val="WenQuanYi Zen Hei"/>
      <family val="2"/>
    </font>
    <font>
      <b val="true"/>
      <sz val="16"/>
      <color rgb="FF16324F"/>
      <name val="Arial"/>
      <family val="0"/>
      <charset val="1"/>
    </font>
    <font>
      <sz val="9.5"/>
      <color rgb="FF6B7B8A"/>
      <name val="WenQuanYi Zen Hei"/>
      <family val="2"/>
    </font>
    <font>
      <sz val="9.5"/>
      <color rgb="FF6B7B8A"/>
      <name val="Arial"/>
      <family val="0"/>
      <charset val="1"/>
    </font>
    <font>
      <b val="true"/>
      <sz val="10"/>
      <color rgb="FFFFFFFF"/>
      <name val="Arial"/>
      <family val="0"/>
      <charset val="1"/>
    </font>
    <font>
      <b val="true"/>
      <sz val="10"/>
      <color rgb="FFFFFFFF"/>
      <name val="WenQuanYi Zen Hei"/>
      <family val="2"/>
    </font>
    <font>
      <sz val="10"/>
      <color rgb="FF000000"/>
      <name val="Arial"/>
      <family val="0"/>
      <charset val="1"/>
    </font>
    <font>
      <b val="true"/>
      <sz val="10"/>
      <color rgb="FF000000"/>
      <name val="WenQuanYi Zen Hei"/>
      <family val="2"/>
    </font>
    <font>
      <sz val="10"/>
      <color rgb="FF008000"/>
      <name val="Arial"/>
      <family val="0"/>
      <charset val="1"/>
    </font>
    <font>
      <sz val="9"/>
      <color rgb="FF4A5A68"/>
      <name val="WenQuanYi Zen Hei"/>
      <family val="2"/>
    </font>
    <font>
      <sz val="9"/>
      <color rgb="FF4A5A68"/>
      <name val="Arial"/>
      <family val="0"/>
      <charset val="1"/>
    </font>
    <font>
      <b val="true"/>
      <sz val="10"/>
      <color rgb="FF000000"/>
      <name val="Arial"/>
      <family val="0"/>
      <charset val="1"/>
    </font>
    <font>
      <b val="true"/>
      <sz val="11.5"/>
      <color rgb="FF000000"/>
      <name val="WenQuanYi Zen Hei"/>
      <family val="2"/>
    </font>
    <font>
      <b val="true"/>
      <sz val="11.5"/>
      <color rgb="FF000000"/>
      <name val="Arial"/>
      <family val="0"/>
      <charset val="1"/>
    </font>
    <font>
      <b val="true"/>
      <sz val="10"/>
      <color rgb="FFB87400"/>
      <name val="Arial"/>
      <family val="0"/>
      <charset val="1"/>
    </font>
    <font>
      <b val="true"/>
      <sz val="10"/>
      <color rgb="FF008000"/>
      <name val="Arial"/>
      <family val="0"/>
      <charset val="1"/>
    </font>
    <font>
      <sz val="9"/>
      <color rgb="FF000000"/>
      <name val="WenQuanYi Zen Hei"/>
      <family val="2"/>
    </font>
    <font>
      <b val="true"/>
      <sz val="9.5"/>
      <color rgb="FF16324F"/>
      <name val="WenQuanYi Zen Hei"/>
      <family val="2"/>
    </font>
    <font>
      <sz val="9.5"/>
      <color rgb="FF4A5A68"/>
      <name val="WenQuanYi Zen Hei"/>
      <family val="2"/>
    </font>
    <font>
      <sz val="9.5"/>
      <color rgb="FF4A5A68"/>
      <name val="Arial"/>
      <family val="0"/>
      <charset val="1"/>
    </font>
    <font>
      <sz val="10"/>
      <color rgb="FF000000"/>
      <name val="WenQuanYi Zen Hei"/>
      <family val="2"/>
    </font>
    <font>
      <sz val="9.5"/>
      <color rgb="FF000000"/>
      <name val="WenQuanYi Zen Hei"/>
      <family val="2"/>
    </font>
    <font>
      <b val="true"/>
      <sz val="10"/>
      <color rgb="FF16324F"/>
      <name val="WenQuanYi Zen Hei"/>
      <family val="2"/>
    </font>
    <font>
      <sz val="10"/>
      <color rgb="FF4A5A68"/>
      <name val="WenQuanYi Zen Hei"/>
      <family val="2"/>
    </font>
    <font>
      <sz val="10"/>
      <color rgb="FF4A5A68"/>
      <name val="Arial"/>
      <family val="0"/>
      <charset val="1"/>
    </font>
    <font>
      <b val="true"/>
      <sz val="10"/>
      <color rgb="FF0000FF"/>
      <name val="Arial"/>
      <family val="0"/>
      <charset val="1"/>
    </font>
    <font>
      <sz val="8.5"/>
      <color rgb="FF4A5A68"/>
      <name val="WenQuanYi Zen Hei"/>
      <family val="2"/>
    </font>
    <font>
      <sz val="8.5"/>
      <color rgb="FF4A5A68"/>
      <name val="Arial"/>
      <family val="0"/>
      <charset val="1"/>
    </font>
    <font>
      <b val="true"/>
      <sz val="10"/>
      <color rgb="FF16324F"/>
      <name val="Arial"/>
      <family val="0"/>
      <charset val="1"/>
    </font>
    <font>
      <sz val="10"/>
      <color rgb="FF008000"/>
      <name val="WenQuanYi Zen Hei"/>
      <family val="2"/>
    </font>
    <font>
      <b val="true"/>
      <sz val="9.5"/>
      <color rgb="FF16324F"/>
      <name val="Arial"/>
      <family val="0"/>
      <charset val="1"/>
    </font>
    <font>
      <sz val="10"/>
      <name val="WenQuanYi Zen Hei"/>
      <family val="2"/>
    </font>
    <font>
      <sz val="10"/>
      <name val="Arial"/>
      <family val="2"/>
    </font>
    <font>
      <sz val="10"/>
      <color rgb="FF0000FF"/>
      <name val="Arial"/>
      <family val="0"/>
      <charset val="1"/>
    </font>
    <font>
      <b val="true"/>
      <sz val="10"/>
      <color rgb="FF6B7B8A"/>
      <name val="WenQuanYi Zen Hei"/>
      <family val="2"/>
    </font>
    <font>
      <b val="true"/>
      <sz val="10"/>
      <color rgb="FF6B7B8A"/>
      <name val="Arial"/>
      <family val="0"/>
      <charset val="1"/>
    </font>
    <font>
      <b val="true"/>
      <sz val="11.5"/>
      <color rgb="FF16324F"/>
      <name val="Arial"/>
      <family val="0"/>
      <charset val="1"/>
    </font>
    <font>
      <b val="true"/>
      <sz val="11.5"/>
      <color rgb="FF16324F"/>
      <name val="WenQuanYi Zen Hei"/>
      <family val="2"/>
    </font>
    <font>
      <b val="true"/>
      <sz val="9.5"/>
      <color rgb="FF008000"/>
      <name val="WenQuanYi Zen Hei"/>
      <family val="2"/>
    </font>
    <font>
      <sz val="9.5"/>
      <color rgb="FF1C2A38"/>
      <name val="WenQuanYi Zen Hei"/>
      <family val="2"/>
    </font>
    <font>
      <b val="true"/>
      <sz val="9.5"/>
      <color rgb="FFB3402F"/>
      <name val="Arial"/>
      <family val="0"/>
      <charset val="1"/>
    </font>
    <font>
      <b val="true"/>
      <sz val="9.5"/>
      <color rgb="FFB3402F"/>
      <name val="WenQuanYi Zen Hei"/>
      <family val="2"/>
    </font>
    <font>
      <sz val="9.5"/>
      <color rgb="FF1C2A38"/>
      <name val="Arial"/>
      <family val="0"/>
      <charset val="1"/>
    </font>
  </fonts>
  <fills count="6">
    <fill>
      <patternFill patternType="none"/>
    </fill>
    <fill>
      <patternFill patternType="gray125"/>
    </fill>
    <fill>
      <patternFill patternType="solid">
        <fgColor rgb="FF16324F"/>
        <bgColor rgb="FF1C2A38"/>
      </patternFill>
    </fill>
    <fill>
      <patternFill patternType="solid">
        <fgColor rgb="FFF3F5F7"/>
        <bgColor rgb="FFFFFFFF"/>
      </patternFill>
    </fill>
    <fill>
      <patternFill patternType="solid">
        <fgColor rgb="FFDCE6F1"/>
        <bgColor rgb="FFF3F5F7"/>
      </patternFill>
    </fill>
    <fill>
      <patternFill patternType="solid">
        <fgColor rgb="FFFFF2CC"/>
        <bgColor rgb="FFF3F5F7"/>
      </patternFill>
    </fill>
  </fills>
  <borders count="2">
    <border diagonalUp="false" diagonalDown="false">
      <left/>
      <right/>
      <top/>
      <bottom/>
      <diagonal/>
    </border>
    <border diagonalUp="false" diagonalDown="false">
      <left style="thin">
        <color rgb="FFBFC9D1"/>
      </left>
      <right style="thin">
        <color rgb="FFBFC9D1"/>
      </right>
      <top style="thin">
        <color rgb="FFBFC9D1"/>
      </top>
      <bottom style="thin">
        <color rgb="FFBFC9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5" fontId="12" fillId="0" borderId="1" xfId="0" applyFont="true" applyBorder="true" applyAlignment="true" applyProtection="false">
      <alignment horizontal="righ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6" fillId="3" borderId="1" xfId="0" applyFont="true" applyBorder="true" applyAlignment="true" applyProtection="false">
      <alignment horizontal="left" vertical="center" textRotation="0" wrapText="false" indent="0" shrinkToFit="false"/>
      <protection locked="true" hidden="false"/>
    </xf>
    <xf numFmtId="165" fontId="17" fillId="3" borderId="1" xfId="0" applyFont="true" applyBorder="true" applyAlignment="true" applyProtection="false">
      <alignment horizontal="right" vertical="center" textRotation="0" wrapText="false" indent="0" shrinkToFit="false"/>
      <protection locked="true" hidden="false"/>
    </xf>
    <xf numFmtId="165" fontId="18" fillId="0" borderId="1" xfId="0" applyFont="true" applyBorder="true" applyAlignment="true" applyProtection="false">
      <alignment horizontal="right" vertical="center"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7" fontId="18"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26" fillId="4" borderId="0" xfId="0" applyFont="true" applyBorder="false" applyAlignment="true" applyProtection="false">
      <alignment horizontal="left" vertical="center" textRotation="0" wrapText="fals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7" fontId="28"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5" fontId="29" fillId="5" borderId="1" xfId="0" applyFont="true" applyBorder="true" applyAlignment="true" applyProtection="false">
      <alignment horizontal="right" vertical="center"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left" vertical="center" textRotation="0" wrapText="false" indent="0" shrinkToFit="false"/>
      <protection locked="true" hidden="false"/>
    </xf>
    <xf numFmtId="164" fontId="24"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4" fontId="29" fillId="5" borderId="1" xfId="0" applyFont="true" applyBorder="true" applyAlignment="true" applyProtection="false">
      <alignment horizontal="center" vertical="center" textRotation="0" wrapText="false" indent="0" shrinkToFit="false"/>
      <protection locked="true" hidden="false"/>
    </xf>
    <xf numFmtId="164" fontId="33" fillId="0" borderId="1" xfId="0" applyFont="true" applyBorder="true" applyAlignment="true" applyProtection="false">
      <alignment horizontal="left" vertical="center" textRotation="0" wrapText="true" indent="0" shrinkToFit="false"/>
      <protection locked="true" hidden="false"/>
    </xf>
    <xf numFmtId="167" fontId="12" fillId="0" borderId="1" xfId="0" applyFont="true" applyBorder="true" applyAlignment="true" applyProtection="false">
      <alignment horizontal="center" vertical="center" textRotation="0" wrapText="false" indent="0" shrinkToFit="false"/>
      <protection locked="true" hidden="false"/>
    </xf>
    <xf numFmtId="165" fontId="15" fillId="0" borderId="1" xfId="0" applyFont="true" applyBorder="true" applyAlignment="true" applyProtection="false">
      <alignment horizontal="right" vertical="center" textRotation="0" wrapText="false" indent="0" shrinkToFit="false"/>
      <protection locked="true" hidden="false"/>
    </xf>
    <xf numFmtId="166" fontId="15"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7" fontId="15"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5" fontId="15" fillId="4" borderId="1" xfId="0" applyFont="true" applyBorder="true" applyAlignment="true" applyProtection="false">
      <alignment horizontal="righ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26" fillId="0" borderId="1" xfId="0" applyFont="true" applyBorder="true" applyAlignment="true" applyProtection="false">
      <alignment horizontal="center" vertical="center" textRotation="0" wrapText="false" indent="0" shrinkToFit="false"/>
      <protection locked="true" hidden="false"/>
    </xf>
    <xf numFmtId="165" fontId="37" fillId="5" borderId="1" xfId="0" applyFont="true" applyBorder="true" applyAlignment="true" applyProtection="false">
      <alignment horizontal="right" vertical="center" textRotation="0" wrapText="false" indent="0" shrinkToFit="false"/>
      <protection locked="true" hidden="false"/>
    </xf>
    <xf numFmtId="164" fontId="38" fillId="0"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5" fontId="15" fillId="3" borderId="1" xfId="0" applyFont="true" applyBorder="true" applyAlignment="true" applyProtection="false">
      <alignment horizontal="right" vertical="center" textRotation="0" wrapText="false" indent="0" shrinkToFit="false"/>
      <protection locked="true" hidden="false"/>
    </xf>
    <xf numFmtId="164" fontId="40" fillId="4" borderId="0" xfId="0" applyFont="true" applyBorder="false" applyAlignment="true" applyProtection="false">
      <alignment horizontal="left" vertical="center" textRotation="0" wrapText="false" indent="0" shrinkToFit="false"/>
      <protection locked="true" hidden="false"/>
    </xf>
    <xf numFmtId="164" fontId="42" fillId="0" borderId="0" xfId="0" applyFont="true" applyBorder="false" applyAlignment="true" applyProtection="false">
      <alignment horizontal="left" vertical="center" textRotation="0" wrapText="false" indent="0" shrinkToFit="false"/>
      <protection locked="true" hidden="false"/>
    </xf>
    <xf numFmtId="164" fontId="43" fillId="0" borderId="0" xfId="0" applyFont="true" applyBorder="false" applyAlignment="true" applyProtection="false">
      <alignment horizontal="left" vertical="center" textRotation="0" wrapText="false" indent="0" shrinkToFit="false"/>
      <protection locked="true" hidden="false"/>
    </xf>
    <xf numFmtId="164" fontId="44" fillId="0" borderId="0" xfId="0" applyFont="true" applyBorder="false" applyAlignment="true" applyProtection="false">
      <alignment horizontal="left" vertical="center" textRotation="0" wrapText="false" indent="0" shrinkToFit="false"/>
      <protection locked="true" hidden="false"/>
    </xf>
    <xf numFmtId="164" fontId="45"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7400"/>
      <rgbColor rgb="FF800080"/>
      <rgbColor rgb="FF008080"/>
      <rgbColor rgb="FFBFC9D1"/>
      <rgbColor rgb="FF6B7B8A"/>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4A5A68"/>
      <rgbColor rgb="FF969696"/>
      <rgbColor rgb="FF16324F"/>
      <rgbColor rgb="FF339966"/>
      <rgbColor rgb="FF003300"/>
      <rgbColor rgb="FF333300"/>
      <rgbColor rgb="FFB3402F"/>
      <rgbColor rgb="FF993366"/>
      <rgbColor rgb="FF333399"/>
      <rgbColor rgb="FF1C2A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4" min="3" style="0" width="18"/>
    <col collapsed="false" customWidth="true" hidden="false" outlineLevel="0" max="5" min="5" style="0" width="58"/>
  </cols>
  <sheetData>
    <row r="1" customFormat="false" ht="25.5" hidden="false" customHeight="true" outlineLevel="0" collapsed="false">
      <c r="A1" s="1" t="s">
        <v>0</v>
      </c>
    </row>
    <row r="2" customFormat="false" ht="15" hidden="false" customHeight="false" outlineLevel="0" collapsed="false">
      <c r="A2" s="2" t="s">
        <v>1</v>
      </c>
    </row>
    <row r="4" customFormat="false" ht="21.75" hidden="false" customHeight="true" outlineLevel="0" collapsed="false">
      <c r="A4" s="3"/>
      <c r="B4" s="4" t="s">
        <v>2</v>
      </c>
      <c r="C4" s="4" t="s">
        <v>3</v>
      </c>
      <c r="D4" s="4" t="s">
        <v>4</v>
      </c>
      <c r="E4" s="4" t="s">
        <v>5</v>
      </c>
    </row>
    <row r="5" customFormat="false" ht="30" hidden="false" customHeight="true" outlineLevel="0" collapsed="false">
      <c r="A5" s="5"/>
      <c r="B5" s="6" t="s">
        <v>6</v>
      </c>
      <c r="C5" s="7" t="n">
        <f aca="false">03_教材制作費!H31</f>
        <v>5035000</v>
      </c>
      <c r="D5" s="7" t="n">
        <f aca="false">03_教材制作費!H31</f>
        <v>5035000</v>
      </c>
      <c r="E5" s="8" t="s">
        <v>7</v>
      </c>
    </row>
    <row r="6" customFormat="false" ht="30" hidden="false" customHeight="true" outlineLevel="0" collapsed="false">
      <c r="A6" s="5"/>
      <c r="B6" s="6" t="s">
        <v>8</v>
      </c>
      <c r="C6" s="7" t="n">
        <f aca="false">04_システム費用!C15</f>
        <v>2200000</v>
      </c>
      <c r="D6" s="7" t="n">
        <f aca="false">04_システム費用!D15</f>
        <v>3800000</v>
      </c>
      <c r="E6" s="8" t="s">
        <v>9</v>
      </c>
    </row>
    <row r="7" customFormat="false" ht="30" hidden="false" customHeight="true" outlineLevel="0" collapsed="false">
      <c r="A7" s="5"/>
      <c r="B7" s="6" t="s">
        <v>10</v>
      </c>
      <c r="C7" s="7" t="n">
        <f aca="false">04_システム費用!C16</f>
        <v>1200000</v>
      </c>
      <c r="D7" s="7" t="n">
        <f aca="false">04_システム費用!D16</f>
        <v>2100000</v>
      </c>
      <c r="E7" s="8" t="s">
        <v>11</v>
      </c>
    </row>
    <row r="8" customFormat="false" ht="25.5" hidden="false" customHeight="true" outlineLevel="0" collapsed="false">
      <c r="A8" s="9"/>
      <c r="B8" s="10" t="s">
        <v>12</v>
      </c>
      <c r="C8" s="11" t="n">
        <f aca="false">SUM(C5:C7)</f>
        <v>8435000</v>
      </c>
      <c r="D8" s="11" t="n">
        <f aca="false">SUM(D5:D7)</f>
        <v>10935000</v>
      </c>
      <c r="E8" s="9"/>
    </row>
    <row r="9" customFormat="false" ht="25.5" hidden="false" customHeight="true" outlineLevel="0" collapsed="false">
      <c r="A9" s="5"/>
      <c r="B9" s="6" t="s">
        <v>13</v>
      </c>
      <c r="C9" s="12" t="n">
        <f aca="false">C5+C6</f>
        <v>7235000</v>
      </c>
      <c r="D9" s="12" t="n">
        <f aca="false">D5+D6</f>
        <v>8835000</v>
      </c>
      <c r="E9" s="8" t="s">
        <v>14</v>
      </c>
    </row>
    <row r="11" customFormat="false" ht="15" hidden="false" customHeight="false" outlineLevel="0" collapsed="false">
      <c r="B11" s="6" t="s">
        <v>15</v>
      </c>
      <c r="C11" s="7" t="n">
        <f aca="false">04_システム費用!C25</f>
        <v>50000</v>
      </c>
      <c r="D11" s="7" t="n">
        <f aca="false">04_システム費用!D25</f>
        <v>90000</v>
      </c>
      <c r="E11" s="8" t="s">
        <v>16</v>
      </c>
    </row>
    <row r="14" customFormat="false" ht="15" hidden="false" customHeight="false" outlineLevel="0" collapsed="false">
      <c r="B14" s="6" t="s">
        <v>17</v>
      </c>
      <c r="C14" s="13" t="n">
        <f aca="false">03_教材制作費!A31</f>
        <v>3</v>
      </c>
      <c r="D14" s="14" t="s">
        <v>18</v>
      </c>
      <c r="E14" s="15" t="s">
        <v>19</v>
      </c>
    </row>
    <row r="15" customFormat="false" ht="15" hidden="false" customHeight="false" outlineLevel="0" collapsed="false">
      <c r="B15" s="6" t="s">
        <v>20</v>
      </c>
      <c r="C15" s="16" t="n">
        <f aca="false">03_教材制作費!C31</f>
        <v>14.5</v>
      </c>
      <c r="D15" s="5"/>
      <c r="E15" s="15" t="s">
        <v>21</v>
      </c>
    </row>
    <row r="18" customFormat="false" ht="15" hidden="false" customHeight="false" outlineLevel="0" collapsed="false">
      <c r="B18" s="17" t="s">
        <v>22</v>
      </c>
    </row>
    <row r="19" customFormat="false" ht="15" hidden="false" customHeight="false" outlineLevel="0" collapsed="false">
      <c r="B19" s="18" t="s">
        <v>23</v>
      </c>
    </row>
    <row r="20" customFormat="false" ht="15" hidden="false" customHeight="false" outlineLevel="0" collapsed="false">
      <c r="B20" s="18" t="s">
        <v>24</v>
      </c>
    </row>
    <row r="21" customFormat="false" ht="15" hidden="false" customHeight="false" outlineLevel="0" collapsed="false">
      <c r="B21" s="18" t="s">
        <v>25</v>
      </c>
    </row>
    <row r="22" customFormat="false" ht="15" hidden="false" customHeight="false" outlineLevel="0" collapsed="false">
      <c r="B22" s="18"/>
    </row>
    <row r="23" customFormat="false" ht="15" hidden="false" customHeight="false" outlineLevel="0" collapsed="false">
      <c r="B23" s="17" t="s">
        <v>26</v>
      </c>
    </row>
    <row r="24" customFormat="false" ht="15" hidden="false" customHeight="false" outlineLevel="0" collapsed="false">
      <c r="B24" s="18" t="s">
        <v>27</v>
      </c>
    </row>
    <row r="25" customFormat="false" ht="15" hidden="false" customHeight="false" outlineLevel="0" collapsed="false">
      <c r="B25" s="18"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4" min="2" style="0" width="8"/>
    <col collapsed="false" customWidth="true" hidden="false" outlineLevel="0" max="5" min="5" style="0" width="20"/>
    <col collapsed="false" customWidth="true" hidden="false" outlineLevel="0" max="6" min="6" style="0" width="56"/>
  </cols>
  <sheetData>
    <row r="1" customFormat="false" ht="25.5" hidden="false" customHeight="true" outlineLevel="0" collapsed="false">
      <c r="A1" s="1" t="s">
        <v>29</v>
      </c>
    </row>
    <row r="2" customFormat="false" ht="15" hidden="false" customHeight="false" outlineLevel="0" collapsed="false">
      <c r="A2" s="2" t="s">
        <v>30</v>
      </c>
    </row>
    <row r="4" customFormat="false" ht="31.5" hidden="false" customHeight="true" outlineLevel="0" collapsed="false">
      <c r="A4" s="4" t="s">
        <v>31</v>
      </c>
      <c r="B4" s="4" t="s">
        <v>32</v>
      </c>
      <c r="C4" s="4" t="s">
        <v>33</v>
      </c>
      <c r="D4" s="4" t="s">
        <v>34</v>
      </c>
      <c r="E4" s="3" t="s">
        <v>35</v>
      </c>
      <c r="F4" s="4" t="s">
        <v>36</v>
      </c>
    </row>
    <row r="5" customFormat="false" ht="27.75" hidden="false" customHeight="true" outlineLevel="0" collapsed="false">
      <c r="A5" s="19" t="s">
        <v>37</v>
      </c>
      <c r="B5" s="20" t="n">
        <v>6</v>
      </c>
      <c r="C5" s="21" t="n">
        <v>0</v>
      </c>
      <c r="D5" s="21" t="n">
        <f aca="false">B5+C5</f>
        <v>6</v>
      </c>
      <c r="E5" s="22" t="s">
        <v>38</v>
      </c>
      <c r="F5" s="8" t="s">
        <v>39</v>
      </c>
    </row>
    <row r="6" customFormat="false" ht="27.75" hidden="false" customHeight="true" outlineLevel="0" collapsed="false">
      <c r="A6" s="19" t="s">
        <v>40</v>
      </c>
      <c r="B6" s="20" t="n">
        <v>4.5</v>
      </c>
      <c r="C6" s="21" t="n">
        <v>0</v>
      </c>
      <c r="D6" s="21" t="n">
        <f aca="false">B6+C6</f>
        <v>4.5</v>
      </c>
      <c r="E6" s="22" t="s">
        <v>38</v>
      </c>
      <c r="F6" s="8" t="s">
        <v>41</v>
      </c>
    </row>
    <row r="7" customFormat="false" ht="27.75" hidden="false" customHeight="true" outlineLevel="0" collapsed="false">
      <c r="A7" s="19" t="s">
        <v>42</v>
      </c>
      <c r="B7" s="20" t="n">
        <v>4.5</v>
      </c>
      <c r="C7" s="21" t="n">
        <v>0</v>
      </c>
      <c r="D7" s="21" t="n">
        <f aca="false">B7+C7</f>
        <v>4.5</v>
      </c>
      <c r="E7" s="22" t="s">
        <v>38</v>
      </c>
      <c r="F7" s="8" t="s">
        <v>43</v>
      </c>
    </row>
    <row r="8" customFormat="false" ht="27.75" hidden="false" customHeight="true" outlineLevel="0" collapsed="false">
      <c r="A8" s="19" t="s">
        <v>44</v>
      </c>
      <c r="B8" s="20" t="n">
        <v>5.5</v>
      </c>
      <c r="C8" s="21" t="n">
        <v>0</v>
      </c>
      <c r="D8" s="21" t="n">
        <f aca="false">B8+C8</f>
        <v>5.5</v>
      </c>
      <c r="E8" s="22" t="s">
        <v>38</v>
      </c>
      <c r="F8" s="8" t="s">
        <v>45</v>
      </c>
    </row>
    <row r="9" customFormat="false" ht="27.75" hidden="false" customHeight="true" outlineLevel="0" collapsed="false">
      <c r="A9" s="19" t="s">
        <v>46</v>
      </c>
      <c r="B9" s="20" t="n">
        <v>4.5</v>
      </c>
      <c r="C9" s="21" t="n">
        <v>1.5</v>
      </c>
      <c r="D9" s="21" t="n">
        <f aca="false">B9+C9</f>
        <v>6</v>
      </c>
      <c r="E9" s="22" t="s">
        <v>47</v>
      </c>
      <c r="F9" s="8" t="s">
        <v>48</v>
      </c>
    </row>
    <row r="10" customFormat="false" ht="27.75" hidden="false" customHeight="true" outlineLevel="0" collapsed="false">
      <c r="A10" s="19" t="s">
        <v>49</v>
      </c>
      <c r="B10" s="20" t="n">
        <v>4</v>
      </c>
      <c r="C10" s="21" t="n">
        <v>2</v>
      </c>
      <c r="D10" s="21" t="n">
        <f aca="false">B10+C10</f>
        <v>6</v>
      </c>
      <c r="E10" s="22" t="s">
        <v>47</v>
      </c>
      <c r="F10" s="23" t="s">
        <v>50</v>
      </c>
    </row>
    <row r="11" customFormat="false" ht="27.75" hidden="false" customHeight="true" outlineLevel="0" collapsed="false">
      <c r="A11" s="19" t="s">
        <v>51</v>
      </c>
      <c r="B11" s="20" t="n">
        <v>4</v>
      </c>
      <c r="C11" s="21" t="n">
        <v>3</v>
      </c>
      <c r="D11" s="21" t="n">
        <f aca="false">B11+C11</f>
        <v>7</v>
      </c>
      <c r="E11" s="22" t="s">
        <v>47</v>
      </c>
      <c r="F11" s="8" t="s">
        <v>52</v>
      </c>
    </row>
    <row r="12" customFormat="false" ht="27.75" hidden="false" customHeight="true" outlineLevel="0" collapsed="false">
      <c r="A12" s="19" t="s">
        <v>53</v>
      </c>
      <c r="B12" s="20" t="n">
        <v>7</v>
      </c>
      <c r="C12" s="21" t="n">
        <v>1</v>
      </c>
      <c r="D12" s="21" t="n">
        <f aca="false">B12+C12</f>
        <v>8</v>
      </c>
      <c r="E12" s="22" t="s">
        <v>47</v>
      </c>
      <c r="F12" s="8" t="s">
        <v>54</v>
      </c>
    </row>
    <row r="13" customFormat="false" ht="27.75" hidden="false" customHeight="true" outlineLevel="0" collapsed="false">
      <c r="A13" s="19" t="s">
        <v>55</v>
      </c>
      <c r="B13" s="20" t="n">
        <v>7</v>
      </c>
      <c r="C13" s="21" t="n">
        <v>7</v>
      </c>
      <c r="D13" s="21" t="n">
        <f aca="false">B13+C13</f>
        <v>14</v>
      </c>
      <c r="E13" s="22" t="s">
        <v>56</v>
      </c>
      <c r="F13" s="8" t="s">
        <v>57</v>
      </c>
    </row>
    <row r="14" customFormat="false" ht="27.75" hidden="false" customHeight="true" outlineLevel="0" collapsed="false">
      <c r="A14" s="19" t="s">
        <v>58</v>
      </c>
      <c r="B14" s="20" t="n">
        <v>6</v>
      </c>
      <c r="C14" s="21" t="n">
        <v>3</v>
      </c>
      <c r="D14" s="21" t="n">
        <f aca="false">B14+C14</f>
        <v>9</v>
      </c>
      <c r="E14" s="22" t="s">
        <v>47</v>
      </c>
      <c r="F14" s="8" t="s">
        <v>59</v>
      </c>
    </row>
    <row r="15" customFormat="false" ht="27.75" hidden="false" customHeight="true" outlineLevel="0" collapsed="false">
      <c r="A15" s="19" t="s">
        <v>60</v>
      </c>
      <c r="B15" s="20" t="n">
        <v>5</v>
      </c>
      <c r="C15" s="21" t="n">
        <v>4</v>
      </c>
      <c r="D15" s="21" t="n">
        <f aca="false">B15+C15</f>
        <v>9</v>
      </c>
      <c r="E15" s="22" t="s">
        <v>47</v>
      </c>
      <c r="F15" s="8" t="s">
        <v>61</v>
      </c>
    </row>
    <row r="16" customFormat="false" ht="27.75" hidden="false" customHeight="true" outlineLevel="0" collapsed="false">
      <c r="A16" s="19" t="s">
        <v>62</v>
      </c>
      <c r="B16" s="20" t="n">
        <v>7</v>
      </c>
      <c r="C16" s="21" t="n">
        <v>6</v>
      </c>
      <c r="D16" s="21" t="n">
        <f aca="false">B16+C16</f>
        <v>13</v>
      </c>
      <c r="E16" s="22" t="s">
        <v>56</v>
      </c>
      <c r="F16" s="8" t="s">
        <v>63</v>
      </c>
    </row>
    <row r="17" customFormat="false" ht="27.75" hidden="false" customHeight="true" outlineLevel="0" collapsed="false">
      <c r="A17" s="19" t="s">
        <v>64</v>
      </c>
      <c r="B17" s="20" t="n">
        <v>9</v>
      </c>
      <c r="C17" s="21" t="n">
        <v>8</v>
      </c>
      <c r="D17" s="21" t="n">
        <f aca="false">B17+C17</f>
        <v>17</v>
      </c>
      <c r="E17" s="22" t="s">
        <v>56</v>
      </c>
      <c r="F17" s="8" t="s">
        <v>65</v>
      </c>
    </row>
    <row r="18" customFormat="false" ht="27.75" hidden="false" customHeight="true" outlineLevel="0" collapsed="false">
      <c r="A18" s="19" t="s">
        <v>66</v>
      </c>
      <c r="B18" s="20" t="n">
        <v>11</v>
      </c>
      <c r="C18" s="21" t="n">
        <v>10</v>
      </c>
      <c r="D18" s="21" t="n">
        <f aca="false">B18+C18</f>
        <v>21</v>
      </c>
      <c r="E18" s="22" t="s">
        <v>56</v>
      </c>
      <c r="F18" s="8" t="s">
        <v>67</v>
      </c>
    </row>
    <row r="20" customFormat="false" ht="15" hidden="false" customHeight="false" outlineLevel="0" collapsed="false">
      <c r="A20" s="24" t="s">
        <v>68</v>
      </c>
    </row>
    <row r="21" customFormat="false" ht="27.75" hidden="false" customHeight="true" outlineLevel="0" collapsed="false">
      <c r="A21" s="25" t="s">
        <v>69</v>
      </c>
      <c r="B21" s="26" t="n">
        <v>14</v>
      </c>
      <c r="C21" s="26" t="n">
        <v>0</v>
      </c>
      <c r="D21" s="26" t="n">
        <f aca="false">B21+C21</f>
        <v>14</v>
      </c>
      <c r="E21" s="27" t="s">
        <v>70</v>
      </c>
      <c r="F21" s="8" t="s">
        <v>71</v>
      </c>
    </row>
    <row r="22" customFormat="false" ht="27.75" hidden="false" customHeight="true" outlineLevel="0" collapsed="false">
      <c r="A22" s="25" t="s">
        <v>72</v>
      </c>
      <c r="B22" s="26" t="n">
        <v>4.5</v>
      </c>
      <c r="C22" s="26" t="n">
        <v>0</v>
      </c>
      <c r="D22" s="26" t="n">
        <f aca="false">B22+C22</f>
        <v>4.5</v>
      </c>
      <c r="E22" s="27" t="s">
        <v>70</v>
      </c>
      <c r="F22" s="8" t="s">
        <v>73</v>
      </c>
    </row>
    <row r="25" customFormat="false" ht="15" hidden="false" customHeight="false" outlineLevel="0" collapsed="false">
      <c r="A25" s="17" t="s">
        <v>74</v>
      </c>
    </row>
    <row r="26" customFormat="false" ht="15" hidden="false" customHeight="false" outlineLevel="0" collapsed="false">
      <c r="A26" s="18" t="s">
        <v>75</v>
      </c>
    </row>
    <row r="27" customFormat="false" ht="15" hidden="false" customHeight="false" outlineLevel="0" collapsed="false">
      <c r="A27" s="18" t="s">
        <v>76</v>
      </c>
    </row>
    <row r="28" customFormat="false" ht="15" hidden="false" customHeight="false" outlineLevel="0" collapsed="false">
      <c r="A28" s="18" t="s">
        <v>77</v>
      </c>
    </row>
    <row r="29" customFormat="false" ht="15" hidden="false" customHeight="false" outlineLevel="0" collapsed="false">
      <c r="A29" s="18"/>
    </row>
    <row r="30" customFormat="false" ht="15" hidden="false" customHeight="false" outlineLevel="0" collapsed="false">
      <c r="A30" s="17" t="s">
        <v>78</v>
      </c>
    </row>
    <row r="31" customFormat="false" ht="15" hidden="false" customHeight="false" outlineLevel="0" collapsed="false">
      <c r="A31" s="18" t="s">
        <v>79</v>
      </c>
    </row>
    <row r="32" customFormat="false" ht="15" hidden="false" customHeight="false" outlineLevel="0" collapsed="false">
      <c r="A32" s="18" t="s">
        <v>80</v>
      </c>
    </row>
    <row r="33" customFormat="false" ht="15" hidden="false" customHeight="false" outlineLevel="0" collapsed="false">
      <c r="A33" s="18"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4" min="3" style="0" width="11"/>
    <col collapsed="false" customWidth="true" hidden="false" outlineLevel="0" max="7" min="5" style="0" width="15"/>
    <col collapsed="false" customWidth="true" hidden="false" outlineLevel="0" max="8" min="8" style="0" width="16"/>
  </cols>
  <sheetData>
    <row r="1" customFormat="false" ht="25.5" hidden="false" customHeight="true" outlineLevel="0" collapsed="false">
      <c r="A1" s="1" t="s">
        <v>82</v>
      </c>
    </row>
    <row r="2" customFormat="false" ht="15" hidden="false" customHeight="false" outlineLevel="0" collapsed="false">
      <c r="A2" s="2" t="s">
        <v>83</v>
      </c>
    </row>
    <row r="4" customFormat="false" ht="15" hidden="false" customHeight="false" outlineLevel="0" collapsed="false">
      <c r="A4" s="24" t="s">
        <v>84</v>
      </c>
    </row>
    <row r="5" customFormat="false" ht="33.75" hidden="false" customHeight="true" outlineLevel="0" collapsed="false">
      <c r="B5" s="6" t="s">
        <v>85</v>
      </c>
      <c r="C5" s="28" t="n">
        <v>250000</v>
      </c>
      <c r="D5" s="5"/>
      <c r="E5" s="29" t="s">
        <v>86</v>
      </c>
      <c r="F5" s="29"/>
      <c r="G5" s="29"/>
      <c r="H5" s="29"/>
    </row>
    <row r="6" customFormat="false" ht="33.75" hidden="false" customHeight="true" outlineLevel="0" collapsed="false">
      <c r="B6" s="6" t="s">
        <v>87</v>
      </c>
      <c r="C6" s="28" t="n">
        <v>350000</v>
      </c>
      <c r="D6" s="5"/>
      <c r="E6" s="29" t="s">
        <v>88</v>
      </c>
      <c r="F6" s="29"/>
      <c r="G6" s="29"/>
      <c r="H6" s="29"/>
    </row>
    <row r="7" customFormat="false" ht="33.75" hidden="false" customHeight="true" outlineLevel="0" collapsed="false">
      <c r="B7" s="6" t="s">
        <v>89</v>
      </c>
      <c r="C7" s="28" t="n">
        <v>120000</v>
      </c>
      <c r="D7" s="5"/>
      <c r="E7" s="29" t="s">
        <v>90</v>
      </c>
      <c r="F7" s="29"/>
      <c r="G7" s="29"/>
      <c r="H7" s="29"/>
    </row>
    <row r="9" customFormat="false" ht="15" hidden="false" customHeight="false" outlineLevel="0" collapsed="false">
      <c r="B9" s="30" t="s">
        <v>91</v>
      </c>
    </row>
    <row r="10" customFormat="false" ht="19.5" hidden="false" customHeight="true" outlineLevel="0" collapsed="false">
      <c r="A10" s="3"/>
      <c r="B10" s="4" t="s">
        <v>92</v>
      </c>
      <c r="C10" s="4" t="s">
        <v>93</v>
      </c>
      <c r="D10" s="3"/>
      <c r="E10" s="4" t="s">
        <v>94</v>
      </c>
    </row>
    <row r="11" customFormat="false" ht="25.5" hidden="false" customHeight="true" outlineLevel="0" collapsed="false">
      <c r="B11" s="31" t="s">
        <v>95</v>
      </c>
      <c r="C11" s="32" t="n">
        <v>150000</v>
      </c>
      <c r="D11" s="5"/>
      <c r="E11" s="29" t="s">
        <v>96</v>
      </c>
      <c r="F11" s="29"/>
      <c r="G11" s="29"/>
      <c r="H11" s="29"/>
    </row>
    <row r="12" customFormat="false" ht="25.5" hidden="false" customHeight="true" outlineLevel="0" collapsed="false">
      <c r="B12" s="6" t="s">
        <v>97</v>
      </c>
      <c r="C12" s="32" t="n">
        <v>250000</v>
      </c>
      <c r="D12" s="5"/>
      <c r="E12" s="29" t="s">
        <v>98</v>
      </c>
      <c r="F12" s="29"/>
      <c r="G12" s="29"/>
      <c r="H12" s="29"/>
    </row>
    <row r="13" customFormat="false" ht="25.5" hidden="false" customHeight="true" outlineLevel="0" collapsed="false">
      <c r="B13" s="31" t="s">
        <v>99</v>
      </c>
      <c r="C13" s="32" t="n">
        <v>400000</v>
      </c>
      <c r="D13" s="5"/>
      <c r="E13" s="29" t="s">
        <v>100</v>
      </c>
      <c r="F13" s="29"/>
      <c r="G13" s="29"/>
      <c r="H13" s="29"/>
    </row>
    <row r="15" customFormat="false" ht="15" hidden="false" customHeight="false" outlineLevel="0" collapsed="false">
      <c r="A15" s="24" t="s">
        <v>101</v>
      </c>
    </row>
    <row r="16" customFormat="false" ht="31.5" hidden="false" customHeight="true" outlineLevel="0" collapsed="false">
      <c r="A16" s="4" t="s">
        <v>102</v>
      </c>
      <c r="B16" s="4" t="s">
        <v>31</v>
      </c>
      <c r="C16" s="4" t="s">
        <v>32</v>
      </c>
      <c r="D16" s="4" t="s">
        <v>33</v>
      </c>
      <c r="E16" s="4" t="s">
        <v>103</v>
      </c>
      <c r="F16" s="4" t="s">
        <v>104</v>
      </c>
      <c r="G16" s="4" t="s">
        <v>105</v>
      </c>
      <c r="H16" s="4" t="s">
        <v>106</v>
      </c>
    </row>
    <row r="17" customFormat="false" ht="25.5" hidden="false" customHeight="true" outlineLevel="0" collapsed="false">
      <c r="A17" s="33" t="n">
        <v>1</v>
      </c>
      <c r="B17" s="34" t="str">
        <f aca="false">02_科目マスタ!A5</f>
        <v>足場の組立て等の業務</v>
      </c>
      <c r="C17" s="35" t="n">
        <f aca="false">02_科目マスタ!B5</f>
        <v>6</v>
      </c>
      <c r="D17" s="35" t="n">
        <f aca="false">02_科目マスタ!C5</f>
        <v>0</v>
      </c>
      <c r="E17" s="32" t="n">
        <f aca="false">IF($A17=1,$C17*$C$5,0)</f>
        <v>1500000</v>
      </c>
      <c r="F17" s="32" t="n">
        <f aca="false">IF($A17=1,$C$6,0)</f>
        <v>350000</v>
      </c>
      <c r="G17" s="32" t="n">
        <f aca="false">IF($A17=1,$C$7,0)</f>
        <v>120000</v>
      </c>
      <c r="H17" s="36" t="n">
        <f aca="false">SUM(E17:G17)</f>
        <v>1970000</v>
      </c>
    </row>
    <row r="18" customFormat="false" ht="25.5" hidden="false" customHeight="true" outlineLevel="0" collapsed="false">
      <c r="A18" s="33" t="n">
        <v>0</v>
      </c>
      <c r="B18" s="34" t="str">
        <f aca="false">02_科目マスタ!A6</f>
        <v>粉じん作業に係る業務</v>
      </c>
      <c r="C18" s="35" t="n">
        <f aca="false">02_科目マスタ!B6</f>
        <v>4.5</v>
      </c>
      <c r="D18" s="35" t="n">
        <f aca="false">02_科目マスタ!C6</f>
        <v>0</v>
      </c>
      <c r="E18" s="32" t="n">
        <f aca="false">IF($A18=1,$C18*$C$5,0)</f>
        <v>0</v>
      </c>
      <c r="F18" s="32" t="n">
        <f aca="false">IF($A18=1,$C$6,0)</f>
        <v>0</v>
      </c>
      <c r="G18" s="32" t="n">
        <f aca="false">IF($A18=1,$C$7,0)</f>
        <v>0</v>
      </c>
      <c r="H18" s="36" t="n">
        <f aca="false">SUM(E18:G18)</f>
        <v>0</v>
      </c>
    </row>
    <row r="19" customFormat="false" ht="25.5" hidden="false" customHeight="true" outlineLevel="0" collapsed="false">
      <c r="A19" s="33" t="n">
        <v>0</v>
      </c>
      <c r="B19" s="34" t="str">
        <f aca="false">02_科目マスタ!A7</f>
        <v>石綿等が使用されている建築物等の解体等の業務</v>
      </c>
      <c r="C19" s="35" t="n">
        <f aca="false">02_科目マスタ!B7</f>
        <v>4.5</v>
      </c>
      <c r="D19" s="35" t="n">
        <f aca="false">02_科目マスタ!C7</f>
        <v>0</v>
      </c>
      <c r="E19" s="32" t="n">
        <f aca="false">IF($A19=1,$C19*$C$5,0)</f>
        <v>0</v>
      </c>
      <c r="F19" s="32" t="n">
        <f aca="false">IF($A19=1,$C$6,0)</f>
        <v>0</v>
      </c>
      <c r="G19" s="32" t="n">
        <f aca="false">IF($A19=1,$C$7,0)</f>
        <v>0</v>
      </c>
      <c r="H19" s="36" t="n">
        <f aca="false">SUM(E19:G19)</f>
        <v>0</v>
      </c>
    </row>
    <row r="20" customFormat="false" ht="25.5" hidden="false" customHeight="true" outlineLevel="0" collapsed="false">
      <c r="A20" s="33" t="n">
        <v>0</v>
      </c>
      <c r="B20" s="34" t="str">
        <f aca="false">02_科目マスタ!A8</f>
        <v>酸素欠乏・硫化水素危険作業（第2種）</v>
      </c>
      <c r="C20" s="35" t="n">
        <f aca="false">02_科目マスタ!B8</f>
        <v>5.5</v>
      </c>
      <c r="D20" s="35" t="n">
        <f aca="false">02_科目マスタ!C8</f>
        <v>0</v>
      </c>
      <c r="E20" s="32" t="n">
        <f aca="false">IF($A20=1,$C20*$C$5,0)</f>
        <v>0</v>
      </c>
      <c r="F20" s="32" t="n">
        <f aca="false">IF($A20=1,$C$6,0)</f>
        <v>0</v>
      </c>
      <c r="G20" s="32" t="n">
        <f aca="false">IF($A20=1,$C$7,0)</f>
        <v>0</v>
      </c>
      <c r="H20" s="36" t="n">
        <f aca="false">SUM(E20:G20)</f>
        <v>0</v>
      </c>
    </row>
    <row r="21" customFormat="false" ht="25.5" hidden="false" customHeight="true" outlineLevel="0" collapsed="false">
      <c r="A21" s="33" t="n">
        <v>1</v>
      </c>
      <c r="B21" s="34" t="str">
        <f aca="false">02_科目マスタ!A9</f>
        <v>フルハーネス型墜落制止用器具を用いて行う作業</v>
      </c>
      <c r="C21" s="35" t="n">
        <f aca="false">02_科目マスタ!B9</f>
        <v>4.5</v>
      </c>
      <c r="D21" s="35" t="n">
        <f aca="false">02_科目マスタ!C9</f>
        <v>1.5</v>
      </c>
      <c r="E21" s="32" t="n">
        <f aca="false">IF($A21=1,$C21*$C$5,0)</f>
        <v>1125000</v>
      </c>
      <c r="F21" s="32" t="n">
        <f aca="false">IF($A21=1,$C$6,0)</f>
        <v>350000</v>
      </c>
      <c r="G21" s="32" t="n">
        <f aca="false">IF($A21=1,$C$7,0)</f>
        <v>120000</v>
      </c>
      <c r="H21" s="36" t="n">
        <f aca="false">SUM(E21:G21)</f>
        <v>1595000</v>
      </c>
    </row>
    <row r="22" customFormat="false" ht="25.5" hidden="false" customHeight="true" outlineLevel="0" collapsed="false">
      <c r="A22" s="33" t="n">
        <v>1</v>
      </c>
      <c r="B22" s="34" t="str">
        <f aca="false">02_科目マスタ!A10</f>
        <v>テールゲートリフターの操作の業務</v>
      </c>
      <c r="C22" s="35" t="n">
        <f aca="false">02_科目マスタ!B10</f>
        <v>4</v>
      </c>
      <c r="D22" s="35" t="n">
        <f aca="false">02_科目マスタ!C10</f>
        <v>2</v>
      </c>
      <c r="E22" s="32" t="n">
        <f aca="false">IF($A22=1,$C22*$C$5,0)</f>
        <v>1000000</v>
      </c>
      <c r="F22" s="32" t="n">
        <f aca="false">IF($A22=1,$C$6,0)</f>
        <v>350000</v>
      </c>
      <c r="G22" s="32" t="n">
        <f aca="false">IF($A22=1,$C$7,0)</f>
        <v>120000</v>
      </c>
      <c r="H22" s="36" t="n">
        <f aca="false">SUM(E22:G22)</f>
        <v>1470000</v>
      </c>
    </row>
    <row r="23" customFormat="false" ht="25.5" hidden="false" customHeight="true" outlineLevel="0" collapsed="false">
      <c r="A23" s="33" t="n">
        <v>0</v>
      </c>
      <c r="B23" s="34" t="str">
        <f aca="false">02_科目マスタ!A11</f>
        <v>自由研削といしの取替え等の業務</v>
      </c>
      <c r="C23" s="35" t="n">
        <f aca="false">02_科目マスタ!B11</f>
        <v>4</v>
      </c>
      <c r="D23" s="35" t="n">
        <f aca="false">02_科目マスタ!C11</f>
        <v>3</v>
      </c>
      <c r="E23" s="32" t="n">
        <f aca="false">IF($A23=1,$C23*$C$5,0)</f>
        <v>0</v>
      </c>
      <c r="F23" s="32" t="n">
        <f aca="false">IF($A23=1,$C$6,0)</f>
        <v>0</v>
      </c>
      <c r="G23" s="32" t="n">
        <f aca="false">IF($A23=1,$C$7,0)</f>
        <v>0</v>
      </c>
      <c r="H23" s="36" t="n">
        <f aca="false">SUM(E23:G23)</f>
        <v>0</v>
      </c>
    </row>
    <row r="24" customFormat="false" ht="25.5" hidden="false" customHeight="true" outlineLevel="0" collapsed="false">
      <c r="A24" s="33" t="n">
        <v>0</v>
      </c>
      <c r="B24" s="34" t="str">
        <f aca="false">02_科目マスタ!A12</f>
        <v>低圧電気取扱業務（開閉器の操作のみ）</v>
      </c>
      <c r="C24" s="35" t="n">
        <f aca="false">02_科目マスタ!B12</f>
        <v>7</v>
      </c>
      <c r="D24" s="35" t="n">
        <f aca="false">02_科目マスタ!C12</f>
        <v>1</v>
      </c>
      <c r="E24" s="32" t="n">
        <f aca="false">IF($A24=1,$C24*$C$5,0)</f>
        <v>0</v>
      </c>
      <c r="F24" s="32" t="n">
        <f aca="false">IF($A24=1,$C$6,0)</f>
        <v>0</v>
      </c>
      <c r="G24" s="32" t="n">
        <f aca="false">IF($A24=1,$C$7,0)</f>
        <v>0</v>
      </c>
      <c r="H24" s="36" t="n">
        <f aca="false">SUM(E24:G24)</f>
        <v>0</v>
      </c>
    </row>
    <row r="25" customFormat="false" ht="25.5" hidden="false" customHeight="true" outlineLevel="0" collapsed="false">
      <c r="A25" s="33" t="n">
        <v>0</v>
      </c>
      <c r="B25" s="34" t="str">
        <f aca="false">02_科目マスタ!A13</f>
        <v>低圧電気取扱業務（充電電路の敷設等）</v>
      </c>
      <c r="C25" s="35" t="n">
        <f aca="false">02_科目マスタ!B13</f>
        <v>7</v>
      </c>
      <c r="D25" s="35" t="n">
        <f aca="false">02_科目マスタ!C13</f>
        <v>7</v>
      </c>
      <c r="E25" s="32" t="n">
        <f aca="false">IF($A25=1,$C25*$C$5,0)</f>
        <v>0</v>
      </c>
      <c r="F25" s="32" t="n">
        <f aca="false">IF($A25=1,$C$6,0)</f>
        <v>0</v>
      </c>
      <c r="G25" s="32" t="n">
        <f aca="false">IF($A25=1,$C$7,0)</f>
        <v>0</v>
      </c>
      <c r="H25" s="36" t="n">
        <f aca="false">SUM(E25:G25)</f>
        <v>0</v>
      </c>
    </row>
    <row r="26" customFormat="false" ht="25.5" hidden="false" customHeight="true" outlineLevel="0" collapsed="false">
      <c r="A26" s="33" t="n">
        <v>0</v>
      </c>
      <c r="B26" s="34" t="str">
        <f aca="false">02_科目マスタ!A14</f>
        <v>高所作業車の運転（作業床の高さ10m未満）</v>
      </c>
      <c r="C26" s="35" t="n">
        <f aca="false">02_科目マスタ!B14</f>
        <v>6</v>
      </c>
      <c r="D26" s="35" t="n">
        <f aca="false">02_科目マスタ!C14</f>
        <v>3</v>
      </c>
      <c r="E26" s="32" t="n">
        <f aca="false">IF($A26=1,$C26*$C$5,0)</f>
        <v>0</v>
      </c>
      <c r="F26" s="32" t="n">
        <f aca="false">IF($A26=1,$C$6,0)</f>
        <v>0</v>
      </c>
      <c r="G26" s="32" t="n">
        <f aca="false">IF($A26=1,$C$7,0)</f>
        <v>0</v>
      </c>
      <c r="H26" s="36" t="n">
        <f aca="false">SUM(E26:G26)</f>
        <v>0</v>
      </c>
    </row>
    <row r="27" customFormat="false" ht="25.5" hidden="false" customHeight="true" outlineLevel="0" collapsed="false">
      <c r="A27" s="33" t="n">
        <v>0</v>
      </c>
      <c r="B27" s="34" t="str">
        <f aca="false">02_科目マスタ!A15</f>
        <v>玉掛けの業務（つり上げ荷重1トン未満）</v>
      </c>
      <c r="C27" s="35" t="n">
        <f aca="false">02_科目マスタ!B15</f>
        <v>5</v>
      </c>
      <c r="D27" s="35" t="n">
        <f aca="false">02_科目マスタ!C15</f>
        <v>4</v>
      </c>
      <c r="E27" s="32" t="n">
        <f aca="false">IF($A27=1,$C27*$C$5,0)</f>
        <v>0</v>
      </c>
      <c r="F27" s="32" t="n">
        <f aca="false">IF($A27=1,$C$6,0)</f>
        <v>0</v>
      </c>
      <c r="G27" s="32" t="n">
        <f aca="false">IF($A27=1,$C$7,0)</f>
        <v>0</v>
      </c>
      <c r="H27" s="36" t="n">
        <f aca="false">SUM(E27:G27)</f>
        <v>0</v>
      </c>
    </row>
    <row r="28" customFormat="false" ht="25.5" hidden="false" customHeight="true" outlineLevel="0" collapsed="false">
      <c r="A28" s="33" t="n">
        <v>0</v>
      </c>
      <c r="B28" s="34" t="str">
        <f aca="false">02_科目マスタ!A16</f>
        <v>小型車両系建設機械の運転（機体重量3トン未満）</v>
      </c>
      <c r="C28" s="35" t="n">
        <f aca="false">02_科目マスタ!B16</f>
        <v>7</v>
      </c>
      <c r="D28" s="35" t="n">
        <f aca="false">02_科目マスタ!C16</f>
        <v>6</v>
      </c>
      <c r="E28" s="32" t="n">
        <f aca="false">IF($A28=1,$C28*$C$5,0)</f>
        <v>0</v>
      </c>
      <c r="F28" s="32" t="n">
        <f aca="false">IF($A28=1,$C$6,0)</f>
        <v>0</v>
      </c>
      <c r="G28" s="32" t="n">
        <f aca="false">IF($A28=1,$C$7,0)</f>
        <v>0</v>
      </c>
      <c r="H28" s="36" t="n">
        <f aca="false">SUM(E28:G28)</f>
        <v>0</v>
      </c>
    </row>
    <row r="29" customFormat="false" ht="25.5" hidden="false" customHeight="true" outlineLevel="0" collapsed="false">
      <c r="A29" s="33" t="n">
        <v>0</v>
      </c>
      <c r="B29" s="34" t="str">
        <f aca="false">02_科目マスタ!A17</f>
        <v>チェーンソーを用いて行う伐木等の業務</v>
      </c>
      <c r="C29" s="35" t="n">
        <f aca="false">02_科目マスタ!B17</f>
        <v>9</v>
      </c>
      <c r="D29" s="35" t="n">
        <f aca="false">02_科目マスタ!C17</f>
        <v>8</v>
      </c>
      <c r="E29" s="32" t="n">
        <f aca="false">IF($A29=1,$C29*$C$5,0)</f>
        <v>0</v>
      </c>
      <c r="F29" s="32" t="n">
        <f aca="false">IF($A29=1,$C$6,0)</f>
        <v>0</v>
      </c>
      <c r="G29" s="32" t="n">
        <f aca="false">IF($A29=1,$C$7,0)</f>
        <v>0</v>
      </c>
      <c r="H29" s="36" t="n">
        <f aca="false">SUM(E29:G29)</f>
        <v>0</v>
      </c>
    </row>
    <row r="30" customFormat="false" ht="25.5" hidden="false" customHeight="true" outlineLevel="0" collapsed="false">
      <c r="A30" s="33" t="n">
        <v>0</v>
      </c>
      <c r="B30" s="34" t="str">
        <f aca="false">02_科目マスタ!A18</f>
        <v>アーク溶接等の業務</v>
      </c>
      <c r="C30" s="35" t="n">
        <f aca="false">02_科目マスタ!B18</f>
        <v>11</v>
      </c>
      <c r="D30" s="35" t="n">
        <f aca="false">02_科目マスタ!C18</f>
        <v>10</v>
      </c>
      <c r="E30" s="32" t="n">
        <f aca="false">IF($A30=1,$C30*$C$5,0)</f>
        <v>0</v>
      </c>
      <c r="F30" s="32" t="n">
        <f aca="false">IF($A30=1,$C$6,0)</f>
        <v>0</v>
      </c>
      <c r="G30" s="32" t="n">
        <f aca="false">IF($A30=1,$C$7,0)</f>
        <v>0</v>
      </c>
      <c r="H30" s="36" t="n">
        <f aca="false">SUM(E30:G30)</f>
        <v>0</v>
      </c>
    </row>
    <row r="31" customFormat="false" ht="24" hidden="false" customHeight="true" outlineLevel="0" collapsed="false">
      <c r="A31" s="37" t="n">
        <f aca="false">SUM(A17:A30)</f>
        <v>3</v>
      </c>
      <c r="B31" s="38" t="s">
        <v>107</v>
      </c>
      <c r="C31" s="39" t="n">
        <f aca="false">SUMPRODUCT($A17:$A30,$C17:$C30)</f>
        <v>14.5</v>
      </c>
      <c r="D31" s="40"/>
      <c r="E31" s="41" t="n">
        <f aca="false">SUM(E17:E30)</f>
        <v>3625000</v>
      </c>
      <c r="F31" s="41" t="n">
        <f aca="false">SUM(F17:F30)</f>
        <v>1050000</v>
      </c>
      <c r="G31" s="41" t="n">
        <f aca="false">SUM(G17:G30)</f>
        <v>360000</v>
      </c>
      <c r="H31" s="41" t="n">
        <f aca="false">SUM(H17:H30)</f>
        <v>5035000</v>
      </c>
    </row>
    <row r="33" customFormat="false" ht="15" hidden="false" customHeight="false" outlineLevel="0" collapsed="false">
      <c r="A33" s="17" t="s">
        <v>108</v>
      </c>
    </row>
    <row r="34" customFormat="false" ht="15" hidden="false" customHeight="false" outlineLevel="0" collapsed="false">
      <c r="A34" s="42" t="s">
        <v>109</v>
      </c>
    </row>
    <row r="35" customFormat="false" ht="15" hidden="false" customHeight="false" outlineLevel="0" collapsed="false">
      <c r="A35" s="42" t="s">
        <v>110</v>
      </c>
    </row>
    <row r="36" customFormat="false" ht="15" hidden="false" customHeight="false" outlineLevel="0" collapsed="false">
      <c r="A36" s="42" t="s">
        <v>111</v>
      </c>
    </row>
    <row r="37" customFormat="false" ht="15" hidden="false" customHeight="false" outlineLevel="0" collapsed="false">
      <c r="A37" s="42" t="s">
        <v>112</v>
      </c>
    </row>
    <row r="38" customFormat="false" ht="15" hidden="false" customHeight="false" outlineLevel="0" collapsed="false">
      <c r="A38" s="42" t="s">
        <v>113</v>
      </c>
    </row>
    <row r="39" customFormat="false" ht="15" hidden="false" customHeight="false" outlineLevel="0" collapsed="false">
      <c r="A39" s="18"/>
    </row>
    <row r="40" customFormat="false" ht="15" hidden="false" customHeight="false" outlineLevel="0" collapsed="false">
      <c r="A40" s="43" t="s">
        <v>114</v>
      </c>
    </row>
    <row r="41" customFormat="false" ht="15" hidden="false" customHeight="false" outlineLevel="0" collapsed="false">
      <c r="A41" s="18" t="s">
        <v>115</v>
      </c>
    </row>
    <row r="42" customFormat="false" ht="15" hidden="false" customHeight="false" outlineLevel="0" collapsed="false">
      <c r="A42" s="18" t="s">
        <v>116</v>
      </c>
    </row>
  </sheetData>
  <mergeCells count="6">
    <mergeCell ref="E5:H5"/>
    <mergeCell ref="E6:H6"/>
    <mergeCell ref="E7:H7"/>
    <mergeCell ref="E11:H11"/>
    <mergeCell ref="E12:H12"/>
    <mergeCell ref="E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4" min="3" style="0" width="16"/>
    <col collapsed="false" customWidth="true" hidden="false" outlineLevel="0" max="5" min="5" style="0" width="60"/>
  </cols>
  <sheetData>
    <row r="1" customFormat="false" ht="25.5" hidden="false" customHeight="true" outlineLevel="0" collapsed="false">
      <c r="A1" s="1" t="s">
        <v>117</v>
      </c>
    </row>
    <row r="2" customFormat="false" ht="15" hidden="false" customHeight="false" outlineLevel="0" collapsed="false">
      <c r="A2" s="2" t="s">
        <v>118</v>
      </c>
    </row>
    <row r="4" customFormat="false" ht="21.75" hidden="false" customHeight="true" outlineLevel="0" collapsed="false">
      <c r="A4" s="4" t="s">
        <v>119</v>
      </c>
      <c r="B4" s="4" t="s">
        <v>120</v>
      </c>
      <c r="C4" s="4" t="s">
        <v>3</v>
      </c>
      <c r="D4" s="4" t="s">
        <v>4</v>
      </c>
      <c r="E4" s="4" t="s">
        <v>94</v>
      </c>
    </row>
    <row r="5" customFormat="false" ht="30" hidden="false" customHeight="true" outlineLevel="0" collapsed="false">
      <c r="A5" s="44" t="s">
        <v>121</v>
      </c>
      <c r="B5" s="19" t="s">
        <v>122</v>
      </c>
      <c r="C5" s="45" t="n">
        <v>400000</v>
      </c>
      <c r="D5" s="45" t="n">
        <v>700000</v>
      </c>
      <c r="E5" s="8" t="s">
        <v>123</v>
      </c>
    </row>
    <row r="6" customFormat="false" ht="30" hidden="false" customHeight="true" outlineLevel="0" collapsed="false">
      <c r="A6" s="44" t="s">
        <v>121</v>
      </c>
      <c r="B6" s="19" t="s">
        <v>124</v>
      </c>
      <c r="C6" s="45" t="n">
        <v>500000</v>
      </c>
      <c r="D6" s="45" t="n">
        <v>800000</v>
      </c>
      <c r="E6" s="8" t="s">
        <v>125</v>
      </c>
    </row>
    <row r="7" customFormat="false" ht="30" hidden="false" customHeight="true" outlineLevel="0" collapsed="false">
      <c r="A7" s="44" t="s">
        <v>121</v>
      </c>
      <c r="B7" s="19" t="s">
        <v>126</v>
      </c>
      <c r="C7" s="45" t="n">
        <v>450000</v>
      </c>
      <c r="D7" s="45" t="n">
        <v>800000</v>
      </c>
      <c r="E7" s="8" t="s">
        <v>127</v>
      </c>
    </row>
    <row r="8" customFormat="false" ht="30" hidden="false" customHeight="true" outlineLevel="0" collapsed="false">
      <c r="A8" s="44" t="s">
        <v>121</v>
      </c>
      <c r="B8" s="19" t="s">
        <v>128</v>
      </c>
      <c r="C8" s="45" t="n">
        <v>400000</v>
      </c>
      <c r="D8" s="45" t="n">
        <v>700000</v>
      </c>
      <c r="E8" s="8" t="s">
        <v>129</v>
      </c>
    </row>
    <row r="9" customFormat="false" ht="30" hidden="false" customHeight="true" outlineLevel="0" collapsed="false">
      <c r="A9" s="44" t="s">
        <v>121</v>
      </c>
      <c r="B9" s="19" t="s">
        <v>130</v>
      </c>
      <c r="C9" s="45" t="n">
        <v>250000</v>
      </c>
      <c r="D9" s="45" t="n">
        <v>450000</v>
      </c>
      <c r="E9" s="8" t="s">
        <v>131</v>
      </c>
    </row>
    <row r="10" customFormat="false" ht="30" hidden="false" customHeight="true" outlineLevel="0" collapsed="false">
      <c r="A10" s="44" t="s">
        <v>121</v>
      </c>
      <c r="B10" s="19" t="s">
        <v>132</v>
      </c>
      <c r="C10" s="45" t="n">
        <v>200000</v>
      </c>
      <c r="D10" s="45" t="n">
        <v>350000</v>
      </c>
      <c r="E10" s="23" t="s">
        <v>133</v>
      </c>
    </row>
    <row r="11" customFormat="false" ht="30" hidden="false" customHeight="true" outlineLevel="0" collapsed="false">
      <c r="A11" s="46" t="s">
        <v>134</v>
      </c>
      <c r="B11" s="19" t="s">
        <v>135</v>
      </c>
      <c r="C11" s="45" t="n">
        <v>400000</v>
      </c>
      <c r="D11" s="45" t="n">
        <v>700000</v>
      </c>
      <c r="E11" s="8" t="s">
        <v>136</v>
      </c>
    </row>
    <row r="12" customFormat="false" ht="30" hidden="false" customHeight="true" outlineLevel="0" collapsed="false">
      <c r="A12" s="46" t="s">
        <v>134</v>
      </c>
      <c r="B12" s="19" t="s">
        <v>137</v>
      </c>
      <c r="C12" s="45" t="n">
        <v>250000</v>
      </c>
      <c r="D12" s="45" t="n">
        <v>450000</v>
      </c>
      <c r="E12" s="8" t="s">
        <v>138</v>
      </c>
    </row>
    <row r="13" customFormat="false" ht="30" hidden="false" customHeight="true" outlineLevel="0" collapsed="false">
      <c r="A13" s="46" t="s">
        <v>134</v>
      </c>
      <c r="B13" s="19" t="s">
        <v>139</v>
      </c>
      <c r="C13" s="45" t="n">
        <v>350000</v>
      </c>
      <c r="D13" s="45" t="n">
        <v>600000</v>
      </c>
      <c r="E13" s="8" t="s">
        <v>140</v>
      </c>
    </row>
    <row r="14" customFormat="false" ht="30" hidden="false" customHeight="true" outlineLevel="0" collapsed="false">
      <c r="A14" s="46" t="s">
        <v>134</v>
      </c>
      <c r="B14" s="19" t="s">
        <v>141</v>
      </c>
      <c r="C14" s="45" t="n">
        <v>200000</v>
      </c>
      <c r="D14" s="45" t="n">
        <v>350000</v>
      </c>
      <c r="E14" s="8" t="s">
        <v>142</v>
      </c>
    </row>
    <row r="15" customFormat="false" ht="15" hidden="false" customHeight="false" outlineLevel="0" collapsed="false">
      <c r="A15" s="40"/>
      <c r="B15" s="38" t="s">
        <v>143</v>
      </c>
      <c r="C15" s="41" t="n">
        <f aca="false">SUM(C5:C10)</f>
        <v>2200000</v>
      </c>
      <c r="D15" s="41" t="n">
        <f aca="false">SUM(D5:D10)</f>
        <v>3800000</v>
      </c>
      <c r="E15" s="40"/>
    </row>
    <row r="16" customFormat="false" ht="15" hidden="false" customHeight="false" outlineLevel="0" collapsed="false">
      <c r="A16" s="40"/>
      <c r="B16" s="38" t="s">
        <v>144</v>
      </c>
      <c r="C16" s="41" t="n">
        <f aca="false">SUM(C11:C14)</f>
        <v>1200000</v>
      </c>
      <c r="D16" s="41" t="n">
        <f aca="false">SUM(D11:D14)</f>
        <v>2100000</v>
      </c>
      <c r="E16" s="40"/>
    </row>
    <row r="17" customFormat="false" ht="15" hidden="false" customHeight="false" outlineLevel="0" collapsed="false">
      <c r="A17" s="9"/>
      <c r="B17" s="47" t="s">
        <v>145</v>
      </c>
      <c r="C17" s="48" t="n">
        <f aca="false">C15+C16</f>
        <v>3400000</v>
      </c>
      <c r="D17" s="48" t="n">
        <f aca="false">D15+D16</f>
        <v>5900000</v>
      </c>
      <c r="E17" s="9"/>
    </row>
    <row r="19" customFormat="false" ht="15" hidden="false" customHeight="false" outlineLevel="0" collapsed="false">
      <c r="A19" s="24" t="s">
        <v>146</v>
      </c>
    </row>
    <row r="20" customFormat="false" ht="19.5" hidden="false" customHeight="true" outlineLevel="0" collapsed="false">
      <c r="A20" s="3"/>
      <c r="B20" s="4" t="s">
        <v>2</v>
      </c>
      <c r="C20" s="4" t="s">
        <v>147</v>
      </c>
      <c r="D20" s="4" t="s">
        <v>148</v>
      </c>
      <c r="E20" s="4" t="s">
        <v>94</v>
      </c>
    </row>
    <row r="21" customFormat="false" ht="15" hidden="false" customHeight="false" outlineLevel="0" collapsed="false">
      <c r="A21" s="5"/>
      <c r="B21" s="31" t="s">
        <v>149</v>
      </c>
      <c r="C21" s="45" t="n">
        <v>20000</v>
      </c>
      <c r="D21" s="45" t="n">
        <v>40000</v>
      </c>
      <c r="E21" s="8" t="s">
        <v>150</v>
      </c>
    </row>
    <row r="22" customFormat="false" ht="15" hidden="false" customHeight="false" outlineLevel="0" collapsed="false">
      <c r="A22" s="5"/>
      <c r="B22" s="31" t="s">
        <v>151</v>
      </c>
      <c r="C22" s="45" t="n">
        <v>30000</v>
      </c>
      <c r="D22" s="45" t="n">
        <v>50000</v>
      </c>
      <c r="E22" s="8" t="s">
        <v>152</v>
      </c>
    </row>
    <row r="23" customFormat="false" ht="15" hidden="false" customHeight="false" outlineLevel="0" collapsed="false">
      <c r="A23" s="5"/>
      <c r="B23" s="31" t="s">
        <v>153</v>
      </c>
      <c r="C23" s="45" t="n">
        <v>0</v>
      </c>
      <c r="D23" s="45" t="n">
        <v>0</v>
      </c>
      <c r="E23" s="23" t="s">
        <v>154</v>
      </c>
    </row>
    <row r="24" customFormat="false" ht="15" hidden="false" customHeight="false" outlineLevel="0" collapsed="false">
      <c r="A24" s="5"/>
      <c r="B24" s="31" t="s">
        <v>155</v>
      </c>
      <c r="C24" s="45" t="n">
        <v>0</v>
      </c>
      <c r="D24" s="45" t="n">
        <v>0</v>
      </c>
      <c r="E24" s="8" t="s">
        <v>156</v>
      </c>
    </row>
    <row r="25" customFormat="false" ht="15" hidden="false" customHeight="false" outlineLevel="0" collapsed="false">
      <c r="A25" s="40"/>
      <c r="B25" s="38" t="s">
        <v>157</v>
      </c>
      <c r="C25" s="41" t="n">
        <f aca="false">SUM(C21:C24)</f>
        <v>50000</v>
      </c>
      <c r="D25" s="41" t="n">
        <f aca="false">SUM(D21:D24)</f>
        <v>90000</v>
      </c>
      <c r="E25" s="40"/>
    </row>
    <row r="27" customFormat="false" ht="15" hidden="false" customHeight="false" outlineLevel="0" collapsed="false">
      <c r="A27" s="17" t="s">
        <v>158</v>
      </c>
    </row>
    <row r="28" customFormat="false" ht="15" hidden="false" customHeight="false" outlineLevel="0" collapsed="false">
      <c r="A28" s="18" t="s">
        <v>159</v>
      </c>
    </row>
    <row r="29" customFormat="false" ht="15" hidden="false" customHeight="false" outlineLevel="0" collapsed="false">
      <c r="A29" s="18"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0"/>
  </cols>
  <sheetData>
    <row r="1" customFormat="false" ht="25.5" hidden="false" customHeight="true" outlineLevel="0" collapsed="false">
      <c r="A1" s="1" t="s">
        <v>161</v>
      </c>
    </row>
    <row r="2" customFormat="false" ht="15" hidden="false" customHeight="false" outlineLevel="0" collapsed="false">
      <c r="A2" s="2" t="s">
        <v>162</v>
      </c>
    </row>
    <row r="4" customFormat="false" ht="21.75" hidden="false" customHeight="true" outlineLevel="0" collapsed="false">
      <c r="B4" s="49" t="s">
        <v>163</v>
      </c>
    </row>
    <row r="5" customFormat="false" ht="15" hidden="false" customHeight="false" outlineLevel="0" collapsed="false">
      <c r="B5" s="50" t="s">
        <v>164</v>
      </c>
    </row>
    <row r="6" customFormat="false" ht="15" hidden="false" customHeight="false" outlineLevel="0" collapsed="false">
      <c r="B6" s="51" t="s">
        <v>165</v>
      </c>
    </row>
    <row r="7" customFormat="false" ht="15" hidden="false" customHeight="false" outlineLevel="0" collapsed="false">
      <c r="B7" s="51" t="s">
        <v>166</v>
      </c>
    </row>
    <row r="8" customFormat="false" ht="15" hidden="false" customHeight="false" outlineLevel="0" collapsed="false">
      <c r="B8" s="51" t="s">
        <v>167</v>
      </c>
    </row>
    <row r="9" customFormat="false" ht="15" hidden="false" customHeight="false" outlineLevel="0" collapsed="false">
      <c r="B9" s="51"/>
    </row>
    <row r="10" customFormat="false" ht="15" hidden="false" customHeight="false" outlineLevel="0" collapsed="false">
      <c r="B10" s="52" t="s">
        <v>168</v>
      </c>
    </row>
    <row r="11" customFormat="false" ht="15" hidden="false" customHeight="false" outlineLevel="0" collapsed="false">
      <c r="B11" s="51" t="s">
        <v>169</v>
      </c>
    </row>
    <row r="12" customFormat="false" ht="15" hidden="false" customHeight="false" outlineLevel="0" collapsed="false">
      <c r="B12" s="51" t="s">
        <v>170</v>
      </c>
    </row>
    <row r="13" customFormat="false" ht="15" hidden="false" customHeight="false" outlineLevel="0" collapsed="false">
      <c r="B13" s="51" t="s">
        <v>171</v>
      </c>
    </row>
    <row r="14" customFormat="false" ht="15" hidden="false" customHeight="false" outlineLevel="0" collapsed="false">
      <c r="B14" s="51" t="s">
        <v>172</v>
      </c>
    </row>
    <row r="16" customFormat="false" ht="21.75" hidden="false" customHeight="true" outlineLevel="0" collapsed="false">
      <c r="B16" s="49" t="s">
        <v>173</v>
      </c>
    </row>
    <row r="17" customFormat="false" ht="15" hidden="false" customHeight="false" outlineLevel="0" collapsed="false">
      <c r="B17" s="51" t="s">
        <v>174</v>
      </c>
    </row>
    <row r="18" customFormat="false" ht="15" hidden="false" customHeight="false" outlineLevel="0" collapsed="false">
      <c r="B18" s="51" t="s">
        <v>175</v>
      </c>
    </row>
    <row r="19" customFormat="false" ht="15" hidden="false" customHeight="false" outlineLevel="0" collapsed="false">
      <c r="B19" s="51" t="s">
        <v>176</v>
      </c>
    </row>
    <row r="20" customFormat="false" ht="15" hidden="false" customHeight="false" outlineLevel="0" collapsed="false">
      <c r="B20" s="51" t="s">
        <v>177</v>
      </c>
    </row>
    <row r="21" customFormat="false" ht="15" hidden="false" customHeight="false" outlineLevel="0" collapsed="false">
      <c r="B21" s="53" t="s">
        <v>178</v>
      </c>
    </row>
    <row r="23" customFormat="false" ht="21.75" hidden="false" customHeight="true" outlineLevel="0" collapsed="false">
      <c r="B23" s="49" t="s">
        <v>179</v>
      </c>
    </row>
    <row r="24" customFormat="false" ht="15" hidden="false" customHeight="false" outlineLevel="0" collapsed="false">
      <c r="B24" s="53" t="s">
        <v>180</v>
      </c>
    </row>
    <row r="25" customFormat="false" ht="15" hidden="false" customHeight="false" outlineLevel="0" collapsed="false">
      <c r="B25" s="53" t="s">
        <v>181</v>
      </c>
    </row>
    <row r="26" customFormat="false" ht="15" hidden="false" customHeight="false" outlineLevel="0" collapsed="false">
      <c r="B26" s="50" t="s">
        <v>182</v>
      </c>
    </row>
    <row r="28" customFormat="false" ht="21.75" hidden="false" customHeight="true" outlineLevel="0" collapsed="false">
      <c r="B28" s="49" t="s">
        <v>183</v>
      </c>
    </row>
    <row r="29" customFormat="false" ht="15" hidden="false" customHeight="false" outlineLevel="0" collapsed="false">
      <c r="B29" s="51" t="s">
        <v>184</v>
      </c>
    </row>
    <row r="30" customFormat="false" ht="15" hidden="false" customHeight="false" outlineLevel="0" collapsed="false">
      <c r="B30" s="51" t="s">
        <v>185</v>
      </c>
    </row>
    <row r="31" customFormat="false" ht="15" hidden="false" customHeight="false" outlineLevel="0" collapsed="false">
      <c r="B31" s="53" t="s">
        <v>186</v>
      </c>
    </row>
    <row r="33" customFormat="false" ht="21.75" hidden="false" customHeight="true" outlineLevel="0" collapsed="false">
      <c r="B33" s="49" t="s">
        <v>187</v>
      </c>
    </row>
    <row r="34" customFormat="false" ht="15" hidden="false" customHeight="false" outlineLevel="0" collapsed="false">
      <c r="B34" s="51" t="s">
        <v>188</v>
      </c>
    </row>
    <row r="35" customFormat="false" ht="15" hidden="false" customHeight="false" outlineLevel="0" collapsed="false">
      <c r="B35" s="51" t="s">
        <v>189</v>
      </c>
    </row>
    <row r="36" customFormat="false" ht="15" hidden="false" customHeight="false" outlineLevel="0" collapsed="false">
      <c r="B36" s="51" t="s">
        <v>190</v>
      </c>
    </row>
    <row r="37" customFormat="false" ht="15" hidden="false" customHeight="false" outlineLevel="0" collapsed="false">
      <c r="B37" s="51" t="s">
        <v>191</v>
      </c>
    </row>
    <row r="38" customFormat="false" ht="15" hidden="false" customHeight="false" outlineLevel="0" collapsed="false">
      <c r="B38" s="51" t="s">
        <v>192</v>
      </c>
    </row>
    <row r="40" customFormat="false" ht="21.75" hidden="false" customHeight="true" outlineLevel="0" collapsed="false">
      <c r="B40" s="49" t="s">
        <v>193</v>
      </c>
    </row>
    <row r="41" customFormat="false" ht="15" hidden="false" customHeight="false" outlineLevel="0" collapsed="false">
      <c r="B41" s="51" t="s">
        <v>194</v>
      </c>
    </row>
    <row r="42" customFormat="false" ht="15" hidden="false" customHeight="false" outlineLevel="0" collapsed="false">
      <c r="B42" s="51" t="s">
        <v>195</v>
      </c>
    </row>
    <row r="43" customFormat="false" ht="15" hidden="false" customHeight="false" outlineLevel="0" collapsed="false">
      <c r="B43" s="51" t="s">
        <v>196</v>
      </c>
    </row>
    <row r="44" customFormat="false" ht="14.15" hidden="false" customHeight="false" outlineLevel="0" collapsed="false">
      <c r="B44" s="51" t="s">
        <v>197</v>
      </c>
    </row>
    <row r="45" customFormat="false" ht="15" hidden="false" customHeight="false" outlineLevel="0" collapsed="false">
      <c r="B45" s="51"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2026-09-01T12:45:29Z</dcterms:created>
  <dc:creator>openpyxl</dc:creator>
  <dc:description/>
  <dc:language>en-US</dc:language>
  <cp:lastModifiedBy/>
  <dcterms:modified xsi:type="dcterms:W3CDTF">2026-09-01T12:45:29Z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